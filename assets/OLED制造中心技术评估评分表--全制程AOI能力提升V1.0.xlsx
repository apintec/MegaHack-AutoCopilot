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0509 成本核算" sheetId="2" r:id="rId2"/>
    <sheet name="0509 成本核算2" sheetId="3" r:id="rId3"/>
  </sheets>
  <definedNames>
    <definedName name="_xlnm._FilterDatabase" localSheetId="0">Sheet1!$E$4:$E$46</definedName>
  </definedNames>
  <calcPr calcId="0"/>
</workbook>
</file>

<file path=xl/sharedStrings.xml><?xml version="1.0" encoding="utf-8"?>
<sst xmlns="http://schemas.openxmlformats.org/spreadsheetml/2006/main">
  <si>
    <t>技术评审评分表</t>
  </si>
  <si>
    <t>主项</t>
  </si>
  <si>
    <t>细项</t>
  </si>
  <si>
    <t>目标</t>
  </si>
  <si>
    <t>供应商确认回复[镁伽]</t>
  </si>
  <si>
    <t>评分表</t>
  </si>
  <si>
    <t>设备技术规格</t>
  </si>
  <si>
    <t>图片检测速度</t>
  </si>
  <si>
    <t>检测速度≤2秒/张/≤3秒/≤4秒</t>
  </si>
  <si>
    <t>检测速度≤2秒/张 【16K相机标准】</t>
  </si>
  <si>
    <t>检测能力</t>
  </si>
  <si>
    <t>检出率（=检出NG数量/实际NG总数）≥99.5%，误检率（=过杀数量/检测判定NG数量）≤1%</t>
  </si>
  <si>
    <t>检出率（=检出NG数量/实际NG总数）≥99.5%，
误检率（=过杀数量/检测判定NG数量）≤2%
需求原硬件清晰表达不良，像素尺寸*2 ≤不良尺寸</t>
  </si>
  <si>
    <t>支持异常新增标注训练配置</t>
  </si>
  <si>
    <t>支持</t>
  </si>
  <si>
    <t>响应</t>
  </si>
  <si>
    <t>支持在线检测，实时报警，不影响原TT</t>
  </si>
  <si>
    <t>响应【在线检测、AI 实时报警】</t>
  </si>
  <si>
    <t>支持定制化报警，例如弹窗、三色灯、扬声器、IO信号等</t>
  </si>
  <si>
    <t>报警类型支持及声光≥60dB</t>
  </si>
  <si>
    <t>响应【弹窗】，支持定制化报警</t>
  </si>
  <si>
    <t>图片存储周期</t>
  </si>
  <si>
    <t>图片存储周期180天</t>
  </si>
  <si>
    <t>响应【支持压缩小图存储】</t>
  </si>
  <si>
    <t>支持离线检测，与MES联动进行预hold功能</t>
  </si>
  <si>
    <t>支持离线导入图片判图</t>
  </si>
  <si>
    <t>支持拖拽式算法流程开发，用户可通过图形化界面组合节点形成处理管道</t>
  </si>
  <si>
    <t>支持模型自动迭代（根据判定的NG自主加入模型训练）</t>
  </si>
  <si>
    <t>支持与设备/MES接口对接</t>
  </si>
  <si>
    <t>响应【支持与设备/MES接口对接】</t>
  </si>
  <si>
    <t>算力模块规格</t>
  </si>
  <si>
    <t>≥20tops</t>
  </si>
  <si>
    <t>响应【≥20 tops】</t>
  </si>
  <si>
    <t>华星数据库对接</t>
  </si>
  <si>
    <t>接入华星数据库周期≤7天</t>
  </si>
  <si>
    <t>响应【数据库接入周期≤7天】</t>
  </si>
  <si>
    <t>华星现场有实际AI 优化Demo实际</t>
  </si>
  <si>
    <t>实际AI 优化Demo实际 ≥3</t>
  </si>
  <si>
    <t>响应【Cell 外观检测、LLO检测AI升级】</t>
  </si>
  <si>
    <t>华星现场 紧急需求 PIS站点部署AI</t>
  </si>
  <si>
    <t xml:space="preserve"> PIS站点部署AI 是否</t>
  </si>
  <si>
    <t>响应【预计3月Demo部署 5月完成交付】</t>
  </si>
  <si>
    <t>系统操作及呈现</t>
  </si>
  <si>
    <t>用户权限By角色管理</t>
  </si>
  <si>
    <t>角色种类≥3种</t>
  </si>
  <si>
    <t>响应【支持自定义角色≥3】</t>
  </si>
  <si>
    <t>支持用户自主配置训练模型管理</t>
  </si>
  <si>
    <t>模型训练支持主流通用算法选择</t>
  </si>
  <si>
    <t>支持日志管理</t>
  </si>
  <si>
    <t>支持平台与工位配置管理</t>
  </si>
  <si>
    <t>检出数据自动上传，支持权限控制</t>
  </si>
  <si>
    <t>操作手册及教育训练</t>
  </si>
  <si>
    <t>支持培训≥3次</t>
  </si>
  <si>
    <t>响应【现场培训≥3次，线上教育≥3】</t>
  </si>
  <si>
    <t>项目配置可视化管理</t>
  </si>
  <si>
    <t>看板分级：决策、管理、现场</t>
  </si>
  <si>
    <t>看板架构分级≥3级</t>
  </si>
  <si>
    <t xml:space="preserve"> 响应【看板架构分级≥4级开发者、决策、管理、现场】</t>
  </si>
  <si>
    <t>看板需要展示年/月/周/日/时</t>
  </si>
  <si>
    <t>数据呈现维度≥5种</t>
  </si>
  <si>
    <t>响应【数据呈现维度≥5种】</t>
  </si>
  <si>
    <t>支持整体/单站检出数量/准确率统计</t>
  </si>
  <si>
    <t>可视化图表≥3种</t>
  </si>
  <si>
    <t>响应【可视化图表≥4种 AI自动展示数据】</t>
  </si>
  <si>
    <t>各类可视化图表及格式导出</t>
  </si>
  <si>
    <t>数据导出格式≥3种</t>
  </si>
  <si>
    <t>响应 【数据导出格式≥4种】</t>
  </si>
  <si>
    <t>LeadTime/After Service</t>
  </si>
  <si>
    <t>LeadTime</t>
  </si>
  <si>
    <t>4个月</t>
  </si>
  <si>
    <t>响应【4个月】</t>
  </si>
  <si>
    <t>保固时间</t>
  </si>
  <si>
    <t>24个月</t>
  </si>
  <si>
    <t>响应【24个月】</t>
  </si>
  <si>
    <t>服务据点</t>
  </si>
  <si>
    <t>武汉</t>
  </si>
  <si>
    <t>响应【其它现地也可响应】</t>
  </si>
  <si>
    <t>平日On call时间</t>
  </si>
  <si>
    <t>≤2h</t>
  </si>
  <si>
    <t>响应【≤2h】</t>
  </si>
  <si>
    <t>假日On Call时间</t>
  </si>
  <si>
    <t>≤4h</t>
  </si>
  <si>
    <t>响应【≤4h】</t>
  </si>
  <si>
    <t>成立时间</t>
  </si>
  <si>
    <t>5年以上</t>
  </si>
  <si>
    <t>响应【5年以上】</t>
  </si>
  <si>
    <t>市占率</t>
  </si>
  <si>
    <t>≥5% 成交记录≥3个</t>
  </si>
  <si>
    <t>响应【≥5% 成交记录≥3个】</t>
  </si>
  <si>
    <t>面板行业实绩</t>
  </si>
  <si>
    <t>≥5个</t>
  </si>
  <si>
    <t>响应【≥5个】</t>
  </si>
  <si>
    <t>非面板行业实绩</t>
  </si>
  <si>
    <t>响应【≥5个 半导体晶圆检测、Overlay检测】</t>
  </si>
  <si>
    <t>安全</t>
  </si>
  <si>
    <t>员工保险购买率</t>
  </si>
  <si>
    <t>响应【100%，现场人员按照客规意外保险购买】</t>
  </si>
  <si>
    <t>安全管理费用占工程款比率</t>
  </si>
  <si>
    <t>≥5%</t>
  </si>
  <si>
    <t>响应【≥5%】</t>
  </si>
  <si>
    <t>专业工程师人数</t>
  </si>
  <si>
    <t>≥1人</t>
  </si>
  <si>
    <t>响应【≥1人】</t>
  </si>
  <si>
    <t>现场管理</t>
  </si>
  <si>
    <t>施工安全方案备案</t>
  </si>
  <si>
    <t>≥8项</t>
  </si>
  <si>
    <t>响应【≥8项】</t>
  </si>
  <si>
    <t>安全员配置</t>
  </si>
  <si>
    <t>应急预案</t>
  </si>
  <si>
    <t>≥5项</t>
  </si>
  <si>
    <t>响应【≥5项】</t>
  </si>
  <si>
    <t>施工事故安全</t>
  </si>
  <si>
    <t>0次</t>
  </si>
  <si>
    <t>响应【0次】</t>
  </si>
  <si>
    <t>序号</t>
  </si>
  <si>
    <t>站点</t>
  </si>
  <si>
    <t>需求列表</t>
  </si>
  <si>
    <t>图像分辨率</t>
  </si>
  <si>
    <t>检出规格</t>
  </si>
  <si>
    <r>
      <rPr>
        <b/>
        <color rgb="FFFFFFFF"/>
        <rFont val="微软雅黑"/>
        <sz val="12"/>
      </rPr>
      <t xml:space="preserve">图片吞吐量（</t>
    </r>
    <r>
      <rPr>
        <b/>
        <color rgb="FFFFFFFF"/>
        <rFont val="Arial"/>
        <sz val="12"/>
      </rPr>
      <t xml:space="preserve">TT</t>
    </r>
    <r>
      <rPr>
        <b/>
        <color rgb="FFFFFFFF"/>
        <rFont val="微软雅黑"/>
        <sz val="12"/>
      </rPr>
      <t xml:space="preserve">）</t>
    </r>
  </si>
  <si>
    <t>过漏检指标</t>
  </si>
  <si>
    <r>
      <rPr>
        <b/>
        <color rgb="FFFFFFFF"/>
        <rFont val="宋体"/>
        <sz val="12"/>
      </rPr>
      <t xml:space="preserve">联动功能</t>
    </r>
  </si>
  <si>
    <t>配置要求【4070Ti】</t>
  </si>
  <si>
    <t>客户设备数</t>
  </si>
  <si>
    <t>对应逻辑
[实时检测 1对X]</t>
  </si>
  <si>
    <t>AI工控机数量</t>
  </si>
  <si>
    <t>对应逻辑
[出货前Hold 1对X]</t>
  </si>
  <si>
    <t>工控机单价【40T】</t>
  </si>
  <si>
    <t>Laser Cut</t>
  </si>
  <si>
    <t>保护膜漏撕检测</t>
  </si>
  <si>
    <t>2448*2048</t>
  </si>
  <si>
    <t>目视不可有</t>
  </si>
  <si>
    <r>
      <rPr>
        <b/>
        <color rgb="FF4472C4"/>
        <rFont val="微软雅黑"/>
        <sz val="12"/>
      </rPr>
      <t xml:space="preserve">吞吐量</t>
    </r>
    <r>
      <rPr>
        <b/>
        <color rgb="FF4472C4"/>
        <rFont val="Arial"/>
        <sz val="12"/>
      </rPr>
      <t xml:space="preserve">=4</t>
    </r>
    <r>
      <rPr>
        <b/>
        <color rgb="FF4472C4"/>
        <rFont val="微软雅黑"/>
        <sz val="12"/>
      </rPr>
      <t xml:space="preserve">平台</t>
    </r>
    <r>
      <rPr>
        <b/>
        <color rgb="FF4472C4"/>
        <rFont val="Avenir Next Demi Bold"/>
        <sz val="12"/>
      </rPr>
      <t xml:space="preserve">×</t>
    </r>
    <r>
      <rPr>
        <b/>
        <color rgb="FF4472C4"/>
        <rFont val="Arial"/>
        <sz val="12"/>
      </rPr>
      <t xml:space="preserve">2</t>
    </r>
    <r>
      <rPr>
        <b/>
        <color rgb="FF4472C4"/>
        <rFont val="微软雅黑"/>
        <sz val="12"/>
      </rPr>
      <t xml:space="preserve">相机</t>
    </r>
    <r>
      <rPr>
        <b/>
        <color rgb="FF4472C4"/>
        <rFont val="Arial"/>
        <sz val="12"/>
      </rPr>
      <t xml:space="preserve">=8</t>
    </r>
    <r>
      <rPr>
        <b/>
        <color rgb="FF4472C4"/>
        <rFont val="微软雅黑"/>
        <sz val="12"/>
      </rPr>
      <t xml:space="preserve">张图</t>
    </r>
    <r>
      <rPr>
        <b/>
        <color rgb="FF4472C4"/>
        <rFont val="Avenir Next Demi Bold"/>
        <sz val="12"/>
      </rPr>
      <t xml:space="preserve">
TT=4s
</t>
    </r>
    <r>
      <rPr>
        <b/>
        <color rgb="FF4472C4"/>
        <rFont val="微软雅黑"/>
        <sz val="12"/>
      </rPr>
      <t xml:space="preserve">即</t>
    </r>
    <r>
      <rPr>
        <b/>
        <color rgb="FF4472C4"/>
        <rFont val="Arial"/>
        <sz val="12"/>
      </rPr>
      <t xml:space="preserve">: 8pcs/4s
</t>
    </r>
    <r>
      <rPr>
        <b/>
        <color rgb="FF4472C4"/>
        <rFont val="微软雅黑"/>
        <sz val="12"/>
      </rPr>
      <t xml:space="preserve">后面不给具体计算公式，只给结果</t>
    </r>
  </si>
  <si>
    <r>
      <rPr>
        <color rgb="FF000000"/>
        <rFont val="微软雅黑"/>
        <sz val="10.5"/>
      </rPr>
      <t xml:space="preserve">漏检</t>
    </r>
    <r>
      <rPr>
        <color rgb="FF000000"/>
        <rFont val="Arial"/>
        <sz val="10.5"/>
      </rPr>
      <t xml:space="preserve">&lt;0.5%</t>
    </r>
    <r>
      <rPr>
        <color rgb="FF000000"/>
        <rFont val="Avenir Next Demi Bold"/>
        <sz val="10.5"/>
      </rPr>
      <t xml:space="preserve"> </t>
    </r>
    <r>
      <rPr>
        <color rgb="FF000000"/>
        <rFont val="微软雅黑"/>
        <sz val="10.5"/>
      </rPr>
      <t xml:space="preserve">过检</t>
    </r>
    <r>
      <rPr>
        <color rgb="FF000000"/>
        <rFont val="Arial"/>
        <sz val="10.5"/>
      </rPr>
      <t xml:space="preserve">&lt;1%</t>
    </r>
  </si>
  <si>
    <r>
      <rPr>
        <b/>
        <color rgb="FF4472C4"/>
        <rFont val="微软雅黑"/>
        <sz val="10.5"/>
      </rPr>
      <t xml:space="preserve">离线检测</t>
    </r>
    <r>
      <rPr>
        <color rgb="FF000000"/>
        <rFont val="微软雅黑"/>
        <sz val="10.5"/>
      </rPr>
      <t xml:space="preserve">，</t>
    </r>
    <r>
      <rPr>
        <b/>
        <color rgb="FF4472C4"/>
        <rFont val="微软雅黑"/>
        <sz val="10.5"/>
      </rPr>
      <t xml:space="preserve">可对接</t>
    </r>
    <r>
      <rPr>
        <b/>
        <color rgb="FF4472C4"/>
        <rFont val="Arial"/>
        <sz val="10.5"/>
      </rPr>
      <t xml:space="preserve">MES</t>
    </r>
    <r>
      <rPr>
        <b/>
        <color rgb="FF4472C4"/>
        <rFont val="微软雅黑"/>
        <sz val="10.5"/>
      </rPr>
      <t xml:space="preserve">，具备</t>
    </r>
    <r>
      <rPr>
        <b/>
        <color rgb="FF4472C4"/>
        <rFont val="Arial"/>
        <sz val="10.5"/>
      </rPr>
      <t xml:space="preserve">Hold</t>
    </r>
    <r>
      <rPr>
        <b/>
        <color rgb="FF4472C4"/>
        <rFont val="微软雅黑"/>
        <sz val="10.5"/>
      </rPr>
      <t xml:space="preserve">功能</t>
    </r>
  </si>
  <si>
    <r>
      <rPr>
        <color rgb="FF000000"/>
        <rFont val="微软雅黑"/>
        <sz val="10.5"/>
      </rPr>
      <t xml:space="preserve">工控机</t>
    </r>
    <r>
      <rPr>
        <color rgb="FF000000"/>
        <rFont val="Arial"/>
        <sz val="10.5"/>
      </rPr>
      <t xml:space="preserve">#EBS-4U700QC127K M64 S512 DURAH40-7Lan-R </t>
    </r>
    <r>
      <rPr>
        <color rgb="FF000000"/>
        <rFont val="微软雅黑"/>
        <sz val="10.5"/>
      </rPr>
      <t xml:space="preserve">价格：</t>
    </r>
    <r>
      <rPr>
        <color rgb="FF000000"/>
        <rFont val="Arial"/>
        <sz val="10.5"/>
      </rPr>
      <t xml:space="preserve">25800 </t>
    </r>
    <r>
      <rPr>
        <color rgb="FF000000"/>
        <rFont val="微软雅黑"/>
        <sz val="10.5"/>
      </rPr>
      <t xml:space="preserve">硬盘</t>
    </r>
    <r>
      <rPr>
        <color rgb="FF000000"/>
        <rFont val="Arial"/>
        <sz val="10.5"/>
      </rPr>
      <t xml:space="preserve">20T</t>
    </r>
  </si>
  <si>
    <t>端子划伤/脏污/异物</t>
  </si>
  <si>
    <r>
      <rPr>
        <b/>
        <color rgb="FF4472C4"/>
        <rFont val="Avenir Next Demi Bold"/>
        <sz val="10.5"/>
      </rPr>
      <t xml:space="preserve">同一张图</t>
    </r>
  </si>
  <si>
    <t>0.1mm</t>
  </si>
  <si>
    <t>Panel边缘Crack/Chipping</t>
  </si>
  <si>
    <t>POL站点</t>
  </si>
  <si>
    <r>
      <rPr>
        <color rgb="FF000000"/>
        <rFont val="Avenir Next Demi Bold"/>
        <sz val="11"/>
      </rPr>
      <t xml:space="preserve">Glass </t>
    </r>
    <r>
      <rPr>
        <color rgb="FF000000"/>
        <rFont val="Arial"/>
        <sz val="10.5"/>
      </rPr>
      <t xml:space="preserve">裂纹</t>
    </r>
  </si>
  <si>
    <t>5472*3648</t>
  </si>
  <si>
    <t>50um</t>
  </si>
  <si>
    <t>2pcs/8s</t>
  </si>
  <si>
    <t>漏检&lt;0.5% 过检&lt;1%</t>
  </si>
  <si>
    <t>缺陷位置可在Monitor查看</t>
  </si>
  <si>
    <t xml:space="preserve">设备硬件配置 i9-13900K + RTX 4070Ti </t>
  </si>
  <si>
    <t>在线8台 + 离线1台</t>
  </si>
  <si>
    <r>
      <rPr>
        <color rgb="FF000000"/>
        <rFont val="Avenir Next Demi Bold"/>
        <sz val="11"/>
      </rPr>
      <t xml:space="preserve">Glass </t>
    </r>
    <r>
      <rPr>
        <color rgb="FF000000"/>
        <rFont val="Arial"/>
        <sz val="10.5"/>
      </rPr>
      <t xml:space="preserve">破片</t>
    </r>
  </si>
  <si>
    <r>
      <rPr>
        <color rgb="FF000000"/>
        <rFont val="Avenir Next Demi Bold"/>
        <sz val="11"/>
      </rPr>
      <t xml:space="preserve">Glass </t>
    </r>
    <r>
      <rPr>
        <color rgb="FF000000"/>
        <rFont val="Arial"/>
        <sz val="10.5"/>
      </rPr>
      <t xml:space="preserve">叠片</t>
    </r>
  </si>
  <si>
    <t>PIS</t>
  </si>
  <si>
    <r>
      <rPr>
        <color rgb="FF000000"/>
        <rFont val="Avenir Next Demi Bold"/>
        <sz val="11"/>
      </rPr>
      <t xml:space="preserve">涂胶</t>
    </r>
    <r>
      <rPr>
        <color rgb="FF000000"/>
        <rFont val="等线"/>
        <sz val="10.5"/>
      </rPr>
      <t xml:space="preserve"> </t>
    </r>
    <r>
      <rPr>
        <color rgb="FF000000"/>
        <rFont val="Arial"/>
        <sz val="10.5"/>
      </rPr>
      <t xml:space="preserve">气泡</t>
    </r>
  </si>
  <si>
    <t>17000*2048</t>
  </si>
  <si>
    <t>40um</t>
  </si>
  <si>
    <t>4pcs/4s</t>
  </si>
  <si>
    <t>缺陷位置可在Monitor查看
离线检测，可对接MES、具备Hold功能</t>
  </si>
  <si>
    <t>涂胶 异物</t>
  </si>
  <si>
    <t>Line cut</t>
  </si>
  <si>
    <t>切割道宽度检测</t>
  </si>
  <si>
    <t>1440*1080</t>
  </si>
  <si>
    <t>可设置</t>
  </si>
  <si>
    <r>
      <rPr>
        <color rgb="FF000000"/>
        <rFont val="宋体"/>
        <sz val="10.5"/>
      </rPr>
      <t xml:space="preserve">漏检</t>
    </r>
    <r>
      <rPr>
        <color rgb="FF000000"/>
        <rFont val="Arial"/>
        <sz val="10.5"/>
      </rPr>
      <t xml:space="preserve">&lt;0.5% </t>
    </r>
    <r>
      <rPr>
        <color rgb="FF000000"/>
        <rFont val="宋体"/>
        <sz val="10.5"/>
      </rPr>
      <t xml:space="preserve">过检</t>
    </r>
    <r>
      <rPr>
        <color rgb="FF000000"/>
        <rFont val="Arial"/>
        <sz val="10.5"/>
      </rPr>
      <t xml:space="preserve">&lt;1%</t>
    </r>
  </si>
  <si>
    <t>AI检测锥度 超Spec报警 
要求实时性</t>
  </si>
  <si>
    <t>IC 封胶</t>
  </si>
  <si>
    <r>
      <rPr>
        <color rgb="FF000000"/>
        <rFont val="Avenir Next Demi Bold"/>
        <sz val="11"/>
      </rPr>
      <t xml:space="preserve">胶形检测（胶宽</t>
    </r>
    <r>
      <rPr>
        <color rgb="FF000000"/>
        <rFont val="等线"/>
        <sz val="10.5"/>
      </rPr>
      <t xml:space="preserve">/</t>
    </r>
    <r>
      <rPr>
        <color rgb="FF000000"/>
        <rFont val="Arial"/>
        <sz val="10.5"/>
      </rPr>
      <t xml:space="preserve">缺胶）</t>
    </r>
  </si>
  <si>
    <t>12920*974</t>
  </si>
  <si>
    <t>4pcs/4.5s</t>
  </si>
  <si>
    <t>实时显示检测图像</t>
  </si>
  <si>
    <t>3D 贴合</t>
  </si>
  <si>
    <t>计算两个圆的同心度</t>
  </si>
  <si>
    <t>4000*3000</t>
  </si>
  <si>
    <t>&lt;0.12mm</t>
  </si>
  <si>
    <t>2pcs/4.4s</t>
  </si>
  <si>
    <t>GF贴合位置检测≥99.9%</t>
  </si>
  <si>
    <r>
      <rPr>
        <b/>
        <color rgb="FF4472C4"/>
        <rFont val="微软雅黑"/>
        <sz val="10.5"/>
      </rPr>
      <t xml:space="preserve">在线监测</t>
    </r>
    <r>
      <rPr>
        <color rgb="FF000000"/>
        <rFont val="Arial"/>
        <sz val="10.5"/>
      </rPr>
      <t xml:space="preserve"> </t>
    </r>
    <r>
      <rPr>
        <color rgb="FF000000"/>
        <rFont val="微软雅黑"/>
        <sz val="10.5"/>
      </rPr>
      <t xml:space="preserve">实时报警</t>
    </r>
  </si>
  <si>
    <t>不考虑离线</t>
  </si>
  <si>
    <t>Bending AOI</t>
  </si>
  <si>
    <t>蓝膜漏撕</t>
  </si>
  <si>
    <t>4pcs/8s</t>
  </si>
  <si>
    <t>AI 视觉反馈PLC并补偿
要求实时性并通讯</t>
  </si>
  <si>
    <r>
      <rPr>
        <color rgb="FF000000"/>
        <rFont val="Avenir Next Demi Bold"/>
        <sz val="11"/>
      </rPr>
      <t xml:space="preserve">Mark AI </t>
    </r>
    <r>
      <rPr>
        <color rgb="FF000000"/>
        <rFont val="Arial"/>
        <sz val="10.5"/>
      </rPr>
      <t xml:space="preserve">识别（克服脏污干扰）</t>
    </r>
  </si>
  <si>
    <t>/</t>
  </si>
  <si>
    <t>LLO Cell外观</t>
  </si>
  <si>
    <r>
      <rPr>
        <color rgb="FF000000"/>
        <rFont val="Avenir Next Demi Bold"/>
        <sz val="11"/>
      </rPr>
      <t xml:space="preserve">Glass</t>
    </r>
    <r>
      <rPr>
        <color rgb="FF000000"/>
        <rFont val="Arial"/>
        <sz val="10.5"/>
      </rPr>
      <t xml:space="preserve">裂纹</t>
    </r>
    <r>
      <rPr>
        <color rgb="FF000000"/>
        <rFont val="等线"/>
        <sz val="10.5"/>
      </rPr>
      <t xml:space="preserve">/</t>
    </r>
    <r>
      <rPr>
        <color rgb="FF000000"/>
        <rFont val="Arial"/>
        <sz val="10.5"/>
      </rPr>
      <t xml:space="preserve">划伤</t>
    </r>
    <r>
      <rPr>
        <color rgb="FF000000"/>
        <rFont val="等线"/>
        <sz val="10.5"/>
      </rPr>
      <t xml:space="preserve">/</t>
    </r>
    <r>
      <rPr>
        <color rgb="FF000000"/>
        <rFont val="Arial"/>
        <sz val="10.5"/>
      </rPr>
      <t xml:space="preserve">异物</t>
    </r>
    <r>
      <rPr>
        <color rgb="FF000000"/>
        <rFont val="等线"/>
        <sz val="10.5"/>
      </rPr>
      <t xml:space="preserve">/</t>
    </r>
    <r>
      <rPr>
        <color rgb="FF000000"/>
        <rFont val="Arial"/>
        <sz val="10.5"/>
      </rPr>
      <t xml:space="preserve">脏污</t>
    </r>
  </si>
  <si>
    <t>16384*15360</t>
  </si>
  <si>
    <t>见左侧表格</t>
  </si>
  <si>
    <t>4pcs/10s</t>
  </si>
  <si>
    <t>已实现 实时显示检测图像</t>
  </si>
  <si>
    <t>2T Cut</t>
  </si>
  <si>
    <r>
      <rPr>
        <color rgb="FF000000"/>
        <rFont val="Avenir Next Demi Bold"/>
        <sz val="11"/>
      </rPr>
      <t xml:space="preserve">Peeling/crack/</t>
    </r>
    <r>
      <rPr>
        <color rgb="FF000000"/>
        <rFont val="Arial"/>
        <sz val="10.5"/>
      </rPr>
      <t xml:space="preserve">孔尺寸</t>
    </r>
  </si>
  <si>
    <t>2pcs/1s</t>
  </si>
  <si>
    <t>HAZ大小检测超Spec报警</t>
  </si>
  <si>
    <t>Aging</t>
  </si>
  <si>
    <t>Aging 压偏检测</t>
  </si>
  <si>
    <t>1024*768</t>
  </si>
  <si>
    <t>对位异常</t>
  </si>
  <si>
    <t>40S以内，10pcs产品20张图</t>
  </si>
  <si>
    <t>漏检率&lt;0.01%,过检&lt;0.1%</t>
  </si>
  <si>
    <t>API站点</t>
  </si>
  <si>
    <t>API站点对位情况</t>
  </si>
  <si>
    <t>4896*2048</t>
  </si>
  <si>
    <t xml:space="preserve"> 40S~10pcs产品 20张图</t>
  </si>
  <si>
    <t>其它硬件【李伟填写】</t>
  </si>
  <si>
    <t>配置详细规格</t>
  </si>
  <si>
    <t>数量</t>
  </si>
  <si>
    <t>价格</t>
  </si>
  <si>
    <t>总价</t>
  </si>
  <si>
    <t>工控机1（顶配）</t>
  </si>
  <si>
    <t>Intel Ultra 9 285K/128G DDR5/1T+1T M.2固态/Nvidia RTX4090 24GB/1400W/6LAN/6PCIe /1PCI</t>
  </si>
  <si>
    <t>工控机1（高配）</t>
  </si>
  <si>
    <t>华硕-EBS-4U700/850W/Q670EA/I9-13900K/64G/1T+1T SATA3 SDD/WD-20T HDD/2口千兆网卡/Win10/5PCIe/2PCI/RTX-4080-16GB/Win10</t>
  </si>
  <si>
    <t>工控机2（低配）</t>
  </si>
  <si>
    <t>华硕-EBE-4U/I7-10700K/32G/1T+1T SATA3 SDD/20T/5PICE/2PCI/2千兆/6个USB3.0/6个串口/HDMI+VGA+DP/750W/RTX4070-12GB/ATX-Q470/Win10</t>
  </si>
  <si>
    <t>20T硬盘</t>
  </si>
  <si>
    <t>西部数据（WD）20TB企业级氦气机械硬盘HC560 SATA 7200转512MB CMR垂直 服务器硬盘 3.5英寸WUH722020BLE6L4</t>
  </si>
  <si>
    <t>显示器</t>
  </si>
  <si>
    <t>DELL-SE2726H</t>
  </si>
  <si>
    <t>万兆网卡（双电）</t>
  </si>
  <si>
    <t>TPLINK-PCIE X8万兆双电口X550-T2</t>
  </si>
  <si>
    <t>万兆交换机（5口）</t>
  </si>
  <si>
    <t>keepLINK KP-9000-5XT 5口万兆交换机</t>
  </si>
  <si>
    <t>万兆交换机（8口）</t>
  </si>
  <si>
    <t>keepLINKKP-9000-8XT-AC 8口万兆电交换机</t>
  </si>
  <si>
    <t>万兆网线</t>
  </si>
  <si>
    <t>305米NW125紫色-七类万兆双屏蔽70318</t>
  </si>
  <si>
    <t>键鼠套装</t>
  </si>
  <si>
    <t>罗技（Logitech）MK120 【企业级】有线键盘鼠标套装</t>
  </si>
  <si>
    <t>加密锁</t>
  </si>
  <si>
    <t>Sentinel加密子锁</t>
  </si>
  <si>
    <t>服务器机柜</t>
  </si>
  <si>
    <t>万观天电脑机柜工业PC-RGT-LFPC02P</t>
  </si>
  <si>
    <t>软件开发项目【国民填写】</t>
  </si>
  <si>
    <t>开发工时（人.天）</t>
  </si>
  <si>
    <t>软件设计</t>
  </si>
  <si>
    <t>软件开发</t>
  </si>
  <si>
    <t>软件部署</t>
  </si>
  <si>
    <t>算法开发项目【艳娟、大济、共济填写】</t>
  </si>
  <si>
    <t>开发工时</t>
  </si>
  <si>
    <t>算法框架设计</t>
  </si>
  <si>
    <t>2个站点模型迭代优化（LLO/2T Cut）</t>
  </si>
  <si>
    <t>另外9个站点算法开发+模型迭代优化</t>
  </si>
  <si>
    <t>150
说明：9个站工时拆分（135 + 15预留 = 150）：
PIS：25天
IC封胶：20天
POL：15天
Bending：15天
3D贴合：15天
Laser Cut：15天
Line Cut：10天
Aging：10天
API：10天
预留：15天</t>
  </si>
  <si>
    <t>算法文档 + 软件对接 + 售后培训</t>
  </si>
  <si>
    <t>40
说明：算法文档：10人天（11个站点说明+调参指南）
软件对接：20人天（算法对接、接口联调、测试验证）
售后培训：10人天（培训材料准备、现场技术培训）</t>
  </si>
  <si>
    <t>对应逻辑</t>
  </si>
  <si>
    <t>我司工控机</t>
  </si>
  <si>
    <t>POL</t>
  </si>
  <si>
    <t>Line Cut</t>
  </si>
  <si>
    <t>Bending</t>
  </si>
  <si>
    <t>LLO</t>
  </si>
  <si>
    <t xml:space="preserve">2t CUT </t>
  </si>
  <si>
    <t>API 站点</t>
  </si>
  <si>
    <t xml:space="preserve">TTL </t>
  </si>
  <si>
    <t>网络配置</t>
  </si>
  <si>
    <t>华硕-EBS-4U700/850W/Q670EA/I9-13900K/64G/1T+1T SATA3 SDD/20T HDD/2口千兆网卡/Win10/5PCIe/2PCI/RTX-4080/Win10</t>
  </si>
  <si>
    <t>双口万兆网卡：4
5口万兆交换机：21
8口万兆交换机：4</t>
  </si>
  <si>
    <t>双口万兆网卡：3
5口万兆交换机：17
8口万兆交换机：3</t>
  </si>
  <si>
    <t>双口万兆网卡：21
5口万兆交换机：21
8口万兆交换机：3</t>
  </si>
  <si>
    <t>华硕-EBS-4U700/850W/Q670EA/I9-13900K/32G/1T+1T SATA3 SDD/20T HDD/2口千兆网卡/Win10/5PCIe/2PCI/RTX-4070/Win10</t>
  </si>
  <si>
    <t>双口万兆网卡：1
5口万兆交换机：24
8口万兆交换机：4</t>
  </si>
  <si>
    <t>双口万兆网卡：20
5口万兆交换机：20
8口万兆交换机：3</t>
  </si>
  <si>
    <t>双口万兆网卡：1
5口万兆交换机：7
8口万兆交换机：1</t>
  </si>
  <si>
    <t>双口万兆网卡：1
5口万兆交换机：23
8口万兆交换机：4</t>
  </si>
  <si>
    <t xml:space="preserve">Intel Ultra 9 285K/128G DDR5/1T+1T M.2固态/Nvidia RTX4090 24GB/1400W/6LAN/6PCIe /1PCI </t>
  </si>
  <si>
    <t>双口万兆网卡：10
5口万兆交换机：19
8口万兆交换机：4</t>
  </si>
  <si>
    <t>双口万兆网卡：1
5口万兆交换机：30
8口万兆交换机：4</t>
  </si>
  <si>
    <t>双口万兆网卡：5
5口万兆交换机：29
8口万兆交换机：5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</si>
</sst>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8"/>
      <color rgb="FF000000"/>
      <name val="微软雅黑"/>
    </font>
    <font>
      <sz val="20"/>
      <color rgb="FF000000"/>
      <name val="微软雅黑"/>
    </font>
    <font>
      <sz val="11"/>
      <color rgb="FF000000"/>
      <name val="微软雅黑"/>
    </font>
    <font>
      <sz val="16"/>
      <color rgb="FF000000"/>
      <name val="微软雅黑"/>
    </font>
    <font>
      <b/>
      <sz val="12"/>
      <color rgb="FFFFFFFF"/>
      <name val="微软雅黑"/>
    </font>
    <font>
      <sz val="11"/>
      <color rgb="FF000000"/>
      <name val="Avenir Next Demi Bold"/>
    </font>
    <font>
      <b/>
      <sz val="12"/>
      <color rgb="FFFFFFFF"/>
      <name val="Avenir Next Demi Bold"/>
    </font>
    <font>
      <b/>
      <sz val="12"/>
      <color rgb="FFFFFFFF"/>
      <name val="宋体"/>
    </font>
    <font>
      <sz val="11"/>
      <color rgb="FF000000"/>
      <name val="等线"/>
    </font>
    <font>
      <sz val="11"/>
      <color rgb="FF000000"/>
      <name val="宋体"/>
    </font>
    <font>
      <u/>
      <sz val="11"/>
      <color rgb="FF0563C1"/>
      <name val="宋体"/>
    </font>
    <font>
      <b/>
      <sz val="11"/>
      <color rgb="FF000000"/>
      <name val="宋体"/>
    </font>
    <font>
      <b/>
      <sz val="16"/>
      <color rgb="FFFF0000"/>
      <name val="宋体"/>
    </font>
    <font>
      <sz val="11"/>
      <color rgb="FFFF0000"/>
      <name val="宋体"/>
    </font>
    <font>
      <b/>
      <sz val="12"/>
      <color rgb="FF4472C4"/>
      <name val="Avenir Next Demi Bold"/>
    </font>
    <font>
      <b/>
      <sz val="11"/>
      <color rgb="FF4472C4"/>
      <name val="Avenir Next Demi Bold"/>
    </font>
    <font>
      <sz val="11"/>
      <color rgb="FF4472C4"/>
      <name val="宋体"/>
    </font>
    <font>
      <b/>
      <sz val="14"/>
      <color rgb="FF000000"/>
      <name val="宋体"/>
    </font>
    <font>
      <sz val="16"/>
      <color rgb="FFFF0000"/>
      <name val="宋体"/>
    </font>
    <font>
      <sz val="10.5"/>
      <color rgb="FF000000"/>
      <name val="微软雅黑"/>
    </font>
    <font>
      <sz val="20"/>
      <color rgb="FF000000"/>
      <name val="微软雅黑"/>
    </font>
    <font>
      <b/>
      <sz val="14"/>
      <color rgb="FF000000"/>
      <name val="宋体"/>
    </font>
    <font>
      <b/>
      <sz val="14"/>
      <color rgb="FF000000"/>
      <name val="宋体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微软雅黑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微软雅黑"/>
    </font>
    <font>
      <sz val="11"/>
      <color rgb="FF000000"/>
      <name val="Avenir Next Demi Bold"/>
    </font>
    <font>
      <sz val="11"/>
      <color rgb="FF000000"/>
      <name val="Avenir Next Demi Bold"/>
    </font>
    <font>
      <sz val="11"/>
      <color rgb="FF000000"/>
      <name val="宋体"/>
    </font>
    <font>
      <sz val="11"/>
      <color rgb="FF000000"/>
      <name val="宋体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0076BA"/>
      </patternFill>
    </fill>
    <fill>
      <patternFill patternType="solid">
        <fgColor rgb="FFCBD6E7"/>
      </patternFill>
    </fill>
    <fill>
      <patternFill patternType="solid">
        <fgColor rgb="FFDEEAF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9" fontId="5" fillId="0" borderId="1" xfId="0" applyNumberFormat="1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general" vertical="bottom"/>
    </xf>
    <xf numFmtId="0" fontId="8" fillId="2" borderId="1" xfId="0" applyFont="1" applyFill="1" applyBorder="1" applyProtection="1">
      <alignment horizontal="general" vertical="bottom" wrapText="1"/>
    </xf>
    <xf numFmtId="0" fontId="5" fillId="3" borderId="1" xfId="0" applyFont="1" applyFill="1" applyBorder="1" applyProtection="1">
      <alignment horizontal="center" vertical="center" wrapText="1"/>
    </xf>
    <xf numFmtId="0" fontId="6" fillId="3" borderId="1" xfId="0" applyFont="1" applyFill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6" fillId="3" borderId="1" xfId="0" applyFont="1" applyFill="1" applyBorder="1" applyProtection="1">
      <alignment horizontal="center" vertical="center"/>
    </xf>
    <xf numFmtId="9" fontId="5" fillId="0" borderId="1" xfId="0" applyNumberFormat="1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0" fillId="5" borderId="1" xfId="0" applyFont="1" applyFill="1" applyBorder="1" applyProtection="1">
      <alignment horizontal="center" vertical="center" wrapText="1"/>
    </xf>
    <xf numFmtId="0" fontId="7" fillId="5" borderId="1" xfId="0" applyFont="1" applyFill="1" applyBorder="1" applyProtection="1">
      <alignment horizontal="center" vertical="center" wrapText="1"/>
    </xf>
    <xf numFmtId="0" fontId="11" fillId="4" borderId="1" xfId="0" applyFont="1" applyFill="1" applyBorder="1" applyProtection="1">
      <alignment horizontal="center" vertical="center" wrapText="1"/>
    </xf>
    <xf numFmtId="0" fontId="12" fillId="4" borderId="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/>
    </xf>
    <xf numFmtId="0" fontId="14" fillId="0" borderId="0" xfId="0" applyFont="1">
      <alignment horizontal="center" vertical="bottom"/>
    </xf>
    <xf numFmtId="0" fontId="14" fillId="0" borderId="0" xfId="0" applyFont="1">
      <alignment horizontal="general" vertical="bottom"/>
    </xf>
    <xf numFmtId="0" fontId="15" fillId="0" borderId="0" xfId="0" applyFont="1">
      <alignment horizontal="general" vertical="bottom"/>
    </xf>
    <xf numFmtId="164" fontId="14" fillId="0" borderId="0" xfId="0" applyNumberFormat="1" applyFont="1">
      <alignment horizontal="general" vertical="bottom"/>
    </xf>
    <xf numFmtId="0" fontId="10" fillId="5" borderId="1" xfId="0" applyFont="1" applyFill="1" applyBorder="1" applyProtection="1">
      <alignment horizontal="center" vertical="center" wrapText="1"/>
    </xf>
    <xf numFmtId="0" fontId="10" fillId="5" borderId="2" xfId="0" applyFont="1" applyFill="1" applyBorder="1" applyProtection="1">
      <alignment horizontal="center" vertical="center" wrapText="1"/>
    </xf>
    <xf numFmtId="0" fontId="10" fillId="5" borderId="3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/>
    </xf>
    <xf numFmtId="0" fontId="14" fillId="6" borderId="1" xfId="0" applyFont="1" applyFill="1" applyBorder="1" applyProtection="1">
      <alignment horizontal="center" vertical="center"/>
    </xf>
    <xf numFmtId="0" fontId="10" fillId="6" borderId="1" xfId="0" applyFont="1" applyFill="1" applyBorder="1" applyProtection="1">
      <alignment horizontal="center" vertical="center" wrapText="1"/>
    </xf>
    <xf numFmtId="0" fontId="16" fillId="6" borderId="1" xfId="0" applyFont="1" applyFill="1" applyBorder="1" applyProtection="1">
      <alignment horizontal="center" vertical="center"/>
    </xf>
    <xf numFmtId="0" fontId="6" fillId="3" borderId="1" xfId="0" applyFont="1" applyFill="1" applyBorder="1" applyProtection="1">
      <alignment horizontal="center" vertical="center" wrapText="1"/>
    </xf>
    <xf numFmtId="0" fontId="6" fillId="3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2" borderId="4" xfId="0" applyFont="1" applyFill="1" applyBorder="1" applyProtection="1">
      <alignment horizontal="center" vertical="bottom"/>
    </xf>
    <xf numFmtId="0" fontId="6" fillId="2" borderId="5" xfId="0" applyFont="1" applyFill="1" applyBorder="1" applyProtection="1">
      <alignment horizontal="center" vertical="bottom"/>
    </xf>
    <xf numFmtId="0" fontId="6" fillId="0" borderId="2" xfId="0" applyFont="1" applyBorder="1" applyProtection="1">
      <alignment horizontal="center" vertical="center" wrapText="1"/>
    </xf>
    <xf numFmtId="0" fontId="6" fillId="0" borderId="6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17" fillId="0" borderId="0" xfId="0" applyFont="1">
      <alignment horizontal="general" vertical="bottom"/>
    </xf>
    <xf numFmtId="0" fontId="18" fillId="6" borderId="1" xfId="0" applyFont="1" applyFill="1" applyBorder="1" applyProtection="1">
      <alignment horizontal="center" vertical="center"/>
    </xf>
    <xf numFmtId="0" fontId="19" fillId="5" borderId="1" xfId="0" applyFont="1" applyFill="1" applyBorder="1" applyProtection="1">
      <alignment horizontal="center" vertical="center" wrapText="1"/>
    </xf>
    <xf numFmtId="0" fontId="19" fillId="5" borderId="1" xfId="0" applyFont="1" applyFill="1" applyBorder="1" applyProtection="1">
      <alignment horizontal="center" vertical="center" wrapText="1"/>
    </xf>
    <xf numFmtId="0" fontId="20" fillId="5" borderId="1" xfId="0" applyFont="1" applyFill="1" applyBorder="1" applyProtection="1">
      <alignment horizontal="center" vertical="center" wrapText="1"/>
    </xf>
    <xf numFmtId="0" fontId="20" fillId="5" borderId="1" xfId="0" applyFont="1" applyFill="1" applyBorder="1" applyProtection="1">
      <alignment horizontal="center" vertical="center" wrapText="1"/>
    </xf>
    <xf numFmtId="0" fontId="11" fillId="4" borderId="1" xfId="0" applyFont="1" applyFill="1" applyBorder="1" applyProtection="1">
      <alignment horizontal="center" vertical="center" wrapText="1"/>
    </xf>
    <xf numFmtId="0" fontId="21" fillId="0" borderId="0" xfId="0" applyFont="1">
      <alignment horizontal="general" vertical="bottom"/>
    </xf>
    <xf numFmtId="0" fontId="22" fillId="4" borderId="1" xfId="0" applyFont="1" applyFill="1" applyBorder="1" applyProtection="1">
      <alignment horizontal="center" vertical="center" wrapText="1"/>
    </xf>
    <xf numFmtId="0" fontId="23" fillId="0" borderId="1" xfId="0" applyFont="1" applyBorder="1" applyProtection="1">
      <alignment horizontal="center" vertical="center"/>
    </xf>
    <xf numFmtId="164" fontId="23" fillId="0" borderId="1" xfId="0" applyNumberFormat="1" applyFont="1" applyBorder="1" applyProtection="1">
      <alignment horizontal="center" vertical="center"/>
    </xf>
    <xf numFmtId="0" fontId="23" fillId="0" borderId="1" xfId="0" applyFont="1" applyBorder="1" applyProtection="1">
      <alignment horizontal="center" vertical="center"/>
    </xf>
    <xf numFmtId="164" fontId="23" fillId="0" borderId="1" xfId="0" applyNumberFormat="1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bottom"/>
    </xf>
    <xf numFmtId="164" fontId="14" fillId="0" borderId="1" xfId="0" applyNumberFormat="1" applyFont="1" applyBorder="1" applyProtection="1">
      <alignment horizontal="general" vertical="bottom"/>
    </xf>
    <xf numFmtId="0" fontId="14" fillId="0" borderId="1" xfId="0" applyFont="1" applyBorder="1" applyProtection="1">
      <alignment horizontal="general" vertical="bottom"/>
    </xf>
    <xf numFmtId="0" fontId="7" fillId="2" borderId="0" xfId="0" applyFont="1" applyFill="1">
      <alignment horizontal="general" vertical="bottom"/>
    </xf>
    <xf numFmtId="0" fontId="14" fillId="0" borderId="1" xfId="0" applyFont="1" applyBorder="1" applyProtection="1">
      <alignment horizontal="left" vertical="center" wrapText="1"/>
    </xf>
    <xf numFmtId="0" fontId="24" fillId="5" borderId="1" xfId="0" applyFont="1" applyFill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4" fillId="0" borderId="1" xfId="0" applyFont="1" applyBorder="1" applyProtection="1">
      <alignment horizontal="left" vertical="center"/>
    </xf>
    <xf numFmtId="0" fontId="4" fillId="0" borderId="3" xfId="0" applyFont="1" applyBorder="1" applyProtection="1">
      <alignment vertical="center"/>
    </xf>
    <xf numFmtId="164" fontId="14" fillId="0" borderId="1" xfId="0" applyNumberFormat="1" applyFont="1" applyBorder="1" applyProtection="1">
      <alignment horizontal="left" vertical="center"/>
    </xf>
    <xf numFmtId="0" fontId="14" fillId="0" borderId="1" xfId="0" applyFont="1" applyBorder="1" applyProtection="1">
      <alignment horizontal="general" vertical="center" wrapText="1"/>
    </xf>
    <xf numFmtId="0" fontId="14" fillId="0" borderId="2" xfId="0" applyFont="1" applyBorder="1" applyProtection="1">
      <alignment horizontal="general" vertical="center"/>
    </xf>
    <xf numFmtId="0" fontId="14" fillId="0" borderId="2" xfId="0" applyFont="1" applyBorder="1" applyProtection="1">
      <alignment horizontal="general" vertical="bottom"/>
    </xf>
    <xf numFmtId="164" fontId="14" fillId="0" borderId="2" xfId="0" applyNumberFormat="1" applyFont="1" applyBorder="1" applyProtection="1">
      <alignment horizontal="general" vertical="bottom"/>
    </xf>
    <xf numFmtId="0" fontId="14" fillId="0" borderId="2" xfId="0" applyFont="1" applyBorder="1" applyProtection="1">
      <alignment horizontal="center" vertical="center"/>
    </xf>
    <xf numFmtId="0" fontId="14" fillId="0" borderId="7" xfId="0" applyFont="1" applyBorder="1" applyProtection="1">
      <alignment horizontal="general" vertical="center"/>
    </xf>
    <xf numFmtId="0" fontId="14" fillId="0" borderId="8" xfId="0" applyFont="1" applyBorder="1" applyProtection="1">
      <alignment horizontal="general" vertical="bottom"/>
    </xf>
    <xf numFmtId="0" fontId="14" fillId="0" borderId="3" xfId="0" applyFont="1" applyBorder="1" applyProtection="1">
      <alignment horizontal="center" vertical="center"/>
    </xf>
    <xf numFmtId="0" fontId="25" fillId="0" borderId="1" xfId="0" applyFont="1" applyBorder="1" applyProtection="1">
      <alignment horizontal="center" vertical="center" wrapText="1"/>
    </xf>
    <xf numFmtId="0" fontId="26" fillId="4" borderId="1" xfId="0" applyFont="1" applyFill="1" applyBorder="1" applyProtection="1">
      <alignment horizontal="center" vertical="center" wrapText="1"/>
    </xf>
    <xf numFmtId="0" fontId="27" fillId="4" borderId="1" xfId="0" applyFont="1" applyFill="1" applyBorder="1" applyProtection="1">
      <alignment horizontal="center" vertical="center" wrapText="1"/>
    </xf>
    <xf numFmtId="0" fontId="28" fillId="5" borderId="1" xfId="0" applyFont="1" applyFill="1" applyBorder="1" applyProtection="1">
      <alignment horizontal="center" vertical="center" wrapText="1"/>
    </xf>
    <xf numFmtId="0" fontId="29" fillId="5" borderId="1" xfId="0" applyFont="1" applyFill="1" applyBorder="1" applyProtection="1">
      <alignment horizontal="center" vertical="center" wrapText="1"/>
    </xf>
    <xf numFmtId="0" fontId="30" fillId="5" borderId="1" xfId="0" applyFont="1" applyFill="1" applyBorder="1" applyProtection="1">
      <alignment horizontal="center" vertical="center" wrapText="1"/>
    </xf>
    <xf numFmtId="0" fontId="31" fillId="0" borderId="1" xfId="0" applyFont="1" applyBorder="1" applyProtection="1">
      <alignment horizontal="center" vertical="center" wrapText="1"/>
    </xf>
    <xf numFmtId="0" fontId="32" fillId="0" borderId="3" xfId="0" applyFont="1" applyBorder="1" applyProtection="1">
      <alignment horizontal="center" vertical="center" wrapText="1"/>
    </xf>
    <xf numFmtId="0" fontId="33" fillId="4" borderId="1" xfId="0" applyFont="1" applyFill="1" applyBorder="1" applyProtection="1">
      <alignment horizontal="center" vertical="center" wrapText="1"/>
    </xf>
    <xf numFmtId="0" fontId="34" fillId="5" borderId="1" xfId="0" applyFont="1" applyFill="1" applyBorder="1" applyProtection="1">
      <alignment horizontal="center" vertical="center" wrapText="1"/>
    </xf>
    <xf numFmtId="0" fontId="35" fillId="5" borderId="1" xfId="0" applyFont="1" applyFill="1" applyBorder="1" applyProtection="1">
      <alignment horizontal="center" vertical="center" wrapText="1"/>
    </xf>
    <xf numFmtId="0" fontId="36" fillId="5" borderId="1" xfId="0" applyFont="1" applyFill="1" applyBorder="1" applyProtection="1">
      <alignment horizontal="center" vertical="center" wrapText="1"/>
    </xf>
    <xf numFmtId="0" fontId="37" fillId="5" borderId="1" xfId="0" applyFont="1" applyFill="1" applyBorder="1" applyProtection="1">
      <alignment horizontal="center" vertical="center" wrapText="1"/>
    </xf>
    <xf numFmtId="0" fontId="38" fillId="5" borderId="1" xfId="0" applyFont="1" applyFill="1" applyBorder="1" applyProtection="1">
      <alignment horizontal="center" vertical="center" wrapText="1"/>
    </xf>
    <xf numFmtId="0" fontId="39" fillId="5" borderId="1" xfId="0" applyFont="1" applyFill="1" applyBorder="1" applyProtection="1">
      <alignment horizontal="center" vertical="center" wrapText="1"/>
    </xf>
    <xf numFmtId="0" fontId="40" fillId="5" borderId="1" xfId="0" applyFont="1" applyFill="1" applyBorder="1" applyProtection="1">
      <alignment horizontal="center" vertical="center" wrapText="1"/>
    </xf>
    <xf numFmtId="0" fontId="41" fillId="5" borderId="1" xfId="0" applyFont="1" applyFill="1" applyBorder="1" applyProtection="1">
      <alignment horizontal="center" vertical="center" wrapText="1"/>
    </xf>
    <xf numFmtId="0" fontId="42" fillId="5" borderId="1" xfId="0" applyFont="1" applyFill="1" applyBorder="1" applyProtection="1">
      <alignment horizontal="center" vertical="center" wrapText="1"/>
    </xf>
    <xf numFmtId="0" fontId="43" fillId="5" borderId="1" xfId="0" applyFont="1" applyFill="1" applyBorder="1" applyProtection="1">
      <alignment horizontal="center" vertical="center" wrapText="1"/>
    </xf>
    <xf numFmtId="0" fontId="44" fillId="5" borderId="1" xfId="0" applyFont="1" applyFill="1" applyBorder="1" applyProtection="1">
      <alignment horizontal="center" vertical="center" wrapText="1"/>
    </xf>
    <xf numFmtId="0" fontId="45" fillId="5" borderId="1" xfId="0" applyFont="1" applyFill="1" applyBorder="1" applyProtection="1">
      <alignment horizontal="center" vertical="center" wrapText="1"/>
    </xf>
    <xf numFmtId="0" fontId="46" fillId="5" borderId="1" xfId="0" applyFont="1" applyFill="1" applyBorder="1" applyProtection="1">
      <alignment horizontal="center" vertical="center" wrapText="1"/>
    </xf>
    <xf numFmtId="0" fontId="47" fillId="5" borderId="1" xfId="0" applyFont="1" applyFill="1" applyBorder="1" applyProtection="1">
      <alignment horizontal="center" vertical="center" wrapText="1"/>
    </xf>
    <xf numFmtId="0" fontId="48" fillId="0" borderId="1" xfId="0" applyFont="1" applyBorder="1" applyProtection="1">
      <alignment horizontal="center" vertical="center" wrapText="1"/>
    </xf>
    <xf numFmtId="0" fontId="49" fillId="0" borderId="3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116032</xdr:colOff>
      <xdr:row>3</xdr:row>
      <xdr:rowOff>305318</xdr:rowOff>
    </xdr:from>
    <xdr:ext cx="8611302" cy="4133332"/>
    <xdr:sp macro="" textlink="">
      <xdr:nvSpPr>
        <xdr:cNvPr id="2" name="shape1"/>
        <xdr:cNvSpPr/>
      </xdr:nvSpPr>
      <xdr:spPr>
        <a:xfrm>
          <a:off x="26422350" y="1526251"/>
          <a:ext cx="8611302" cy="4133332"/>
        </a:xfrm>
        <a:prstGeom prst="rect">
          <a:avLst/>
        </a:prstGeom>
        <a:solidFill>
          <a:srgbClr val="5A99D4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需供应商回复资料如下：</a:t>
          </a:r>
        </a:p>
        <a:p>
          <a:pPr algn="l"/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1.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 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报价单</a:t>
          </a:r>
        </a:p>
        <a:p>
          <a:pPr algn="l"/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2. 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方案概述</a:t>
          </a:r>
        </a:p>
        <a:p>
          <a:pPr algn="l"/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3. 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效果示意图</a:t>
          </a:r>
        </a:p>
        <a:p>
          <a:pPr algn="l"/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4. 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该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Excel D</a:t>
          </a:r>
          <a:r>
            <a:rPr lang="zh-CN" altLang="en-US" sz="2800" baseline="0">
              <a:solidFill>
                <a:srgbClr val="FFFFFF"/>
              </a:solidFill>
              <a:latin typeface="微软雅黑"/>
              <a:ea typeface="微软雅黑"/>
            </a:rPr>
            <a:t>列回复</a:t>
          </a:r>
        </a:p>
        <a:p>
          <a:pPr algn="l"/>
          <a:r>
            <a:rPr lang="zh-CN" altLang="en-US" sz="2800" baseline="0">
              <a:solidFill>
                <a:srgbClr val="FF0000"/>
              </a:solidFill>
              <a:latin typeface="微软雅黑"/>
              <a:ea typeface="微软雅黑"/>
            </a:rPr>
            <a:t>请注意：资料回传发送至尹文浩 </a:t>
          </a:r>
          <a:r>
            <a:rPr lang="zh-CN" altLang="en-US" sz="2800" baseline="0">
              <a:solidFill>
                <a:srgbClr val="FF0000"/>
              </a:solidFill>
              <a:latin typeface="微软雅黑"/>
              <a:ea typeface="微软雅黑"/>
            </a:rPr>
            <a:t>&lt;wangbiao36@tcl.com&gt;</a:t>
          </a:r>
          <a:r>
            <a:rPr lang="zh-CN" altLang="en-US" sz="2800" baseline="0">
              <a:solidFill>
                <a:srgbClr val="FF0000"/>
              </a:solidFill>
              <a:latin typeface="微软雅黑"/>
              <a:ea typeface="微软雅黑"/>
            </a:rPr>
            <a:t>邮箱，</a:t>
          </a:r>
          <a:r>
            <a:rPr lang="zh-CN" altLang="en-US" sz="2800" baseline="0">
              <a:solidFill>
                <a:srgbClr val="FF0000"/>
              </a:solidFill>
              <a:latin typeface="微软雅黑"/>
              <a:ea typeface="微软雅黑"/>
            </a:rPr>
            <a:t>2/3</a:t>
          </a:r>
          <a:r>
            <a:rPr lang="zh-CN" altLang="en-US" sz="2800" baseline="0">
              <a:solidFill>
                <a:srgbClr val="FF0000"/>
              </a:solidFill>
              <a:latin typeface="微软雅黑"/>
              <a:ea typeface="微软雅黑"/>
            </a:rPr>
            <a:t>前未回复视为自动弃权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388996</xdr:colOff>
      <xdr:row>46</xdr:row>
      <xdr:rowOff>11205</xdr:rowOff>
    </xdr:from>
    <xdr:ext cx="6167179" cy="7011447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2081084" y="6493809"/>
          <a:ext cx="6167179" cy="7011447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388996</xdr:colOff>
      <xdr:row>46</xdr:row>
      <xdr:rowOff>11205</xdr:rowOff>
    </xdr:from>
    <xdr:ext cx="6167179" cy="7011447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2081084" y="6493809"/>
          <a:ext cx="6167179" cy="7011447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5" customHeight="1"/>
  <cols>
    <col min="1" max="1" width="41.666015625" customWidth="1" style="63"/>
    <col min="2" max="2" width="86.666015625" customWidth="1" style="63"/>
    <col min="3" max="3" width="93.6650390625" customWidth="1" style="63"/>
    <col min="4" max="4" width="92.666015625" customWidth="1" style="63"/>
    <col min="5" max="5" width="42.83203125" customWidth="1" style="63"/>
    <col min="6" max="40" width="9" style="63"/>
  </cols>
  <sheetData>
    <row r="1" ht="35.1" customHeight="1">
      <c r="A1" s="41" t="s">
        <v>0</v>
      </c>
      <c r="B1" s="42"/>
      <c r="C1" s="42"/>
      <c r="D1" s="42"/>
    </row>
    <row r="2" ht="45" customHeight="1">
      <c r="A2" s="40" t="s">
        <v>1</v>
      </c>
      <c r="B2" s="40" t="s">
        <v>2</v>
      </c>
      <c r="C2" s="40" t="s">
        <v>3</v>
      </c>
      <c r="D2" s="37" t="s">
        <v>4</v>
      </c>
      <c r="E2" s="37" t="s">
        <v>5</v>
      </c>
    </row>
    <row r="3" ht="16.5" customHeight="1">
      <c r="A3" s="40"/>
      <c r="B3" s="40"/>
      <c r="C3" s="40"/>
      <c r="D3" s="38"/>
      <c r="E3" s="38"/>
    </row>
    <row r="4" ht="26.649999999999995" customHeight="1">
      <c r="A4" s="40" t="s">
        <v>6</v>
      </c>
      <c r="B4" s="7" t="s">
        <v>7</v>
      </c>
      <c r="C4" s="7" t="s">
        <v>8</v>
      </c>
      <c r="D4" s="8" t="s">
        <v>9</v>
      </c>
      <c r="E4" s="12"/>
    </row>
    <row r="5" ht="79.90000000000002" customHeight="1">
      <c r="A5" s="40"/>
      <c r="B5" s="7" t="s">
        <v>10</v>
      </c>
      <c r="C5" s="7" t="s">
        <v>11</v>
      </c>
      <c r="D5" s="79" t="s">
        <v>12</v>
      </c>
      <c r="E5" s="11"/>
    </row>
    <row r="6" ht="26.649999999999995" customHeight="1">
      <c r="A6" s="40"/>
      <c r="B6" s="7" t="s">
        <v>13</v>
      </c>
      <c r="C6" s="7" t="s">
        <v>14</v>
      </c>
      <c r="D6" s="8" t="s">
        <v>15</v>
      </c>
      <c r="E6" s="11"/>
    </row>
    <row r="7" ht="26.649999999999995" customHeight="1">
      <c r="A7" s="40"/>
      <c r="B7" s="9" t="s">
        <v>16</v>
      </c>
      <c r="C7" s="7" t="s">
        <v>14</v>
      </c>
      <c r="D7" s="15" t="s">
        <v>17</v>
      </c>
      <c r="E7" s="11"/>
    </row>
    <row r="8" ht="26.649999999999995" customHeight="1">
      <c r="A8" s="40"/>
      <c r="B8" s="7" t="s">
        <v>18</v>
      </c>
      <c r="C8" s="7" t="s">
        <v>19</v>
      </c>
      <c r="D8" s="8" t="s">
        <v>20</v>
      </c>
      <c r="E8" s="11"/>
    </row>
    <row r="9" ht="26.649999999999995" customHeight="1">
      <c r="A9" s="40"/>
      <c r="B9" s="7" t="s">
        <v>21</v>
      </c>
      <c r="C9" s="7" t="s">
        <v>22</v>
      </c>
      <c r="D9" s="8" t="s">
        <v>23</v>
      </c>
      <c r="E9" s="11"/>
    </row>
    <row r="10" ht="26.649999999999995" customHeight="1">
      <c r="A10" s="40"/>
      <c r="B10" s="7" t="s">
        <v>24</v>
      </c>
      <c r="C10" s="7" t="s">
        <v>14</v>
      </c>
      <c r="D10" s="8" t="s">
        <v>15</v>
      </c>
      <c r="E10" s="11"/>
    </row>
    <row r="11" ht="26.649999999999995" customHeight="1">
      <c r="A11" s="40"/>
      <c r="B11" s="7" t="s">
        <v>25</v>
      </c>
      <c r="C11" s="7" t="s">
        <v>14</v>
      </c>
      <c r="D11" s="8" t="s">
        <v>15</v>
      </c>
      <c r="E11" s="11"/>
    </row>
    <row r="12" ht="48.75" customHeight="1">
      <c r="A12" s="40"/>
      <c r="B12" s="7" t="s">
        <v>26</v>
      </c>
      <c r="C12" s="7" t="s">
        <v>14</v>
      </c>
      <c r="D12" s="8" t="s">
        <v>15</v>
      </c>
      <c r="E12" s="11"/>
    </row>
    <row r="13" ht="26.649999999999995" customHeight="1">
      <c r="A13" s="40"/>
      <c r="B13" s="7" t="s">
        <v>27</v>
      </c>
      <c r="C13" s="7" t="s">
        <v>14</v>
      </c>
      <c r="D13" s="8" t="s">
        <v>15</v>
      </c>
      <c r="E13" s="11"/>
    </row>
    <row r="14" ht="26.649999999999995" customHeight="1">
      <c r="A14" s="40"/>
      <c r="B14" s="7" t="s">
        <v>28</v>
      </c>
      <c r="C14" s="7" t="s">
        <v>14</v>
      </c>
      <c r="D14" s="8" t="s">
        <v>29</v>
      </c>
      <c r="E14" s="11"/>
    </row>
    <row r="15" ht="26.649999999999995" customHeight="1">
      <c r="A15" s="40"/>
      <c r="B15" s="7" t="s">
        <v>30</v>
      </c>
      <c r="C15" s="9" t="s">
        <v>31</v>
      </c>
      <c r="D15" s="15" t="s">
        <v>32</v>
      </c>
      <c r="E15" s="11"/>
    </row>
    <row r="16" ht="26.649999999999995" customHeight="1">
      <c r="A16" s="40"/>
      <c r="B16" s="7" t="s">
        <v>33</v>
      </c>
      <c r="C16" s="7" t="s">
        <v>34</v>
      </c>
      <c r="D16" s="8" t="s">
        <v>35</v>
      </c>
      <c r="E16" s="11"/>
    </row>
    <row r="17" ht="26.649999999999995" customHeight="1">
      <c r="A17" s="40"/>
      <c r="B17" s="13" t="s">
        <v>36</v>
      </c>
      <c r="C17" s="13" t="s">
        <v>37</v>
      </c>
      <c r="D17" s="14" t="s">
        <v>38</v>
      </c>
      <c r="E17" s="11"/>
    </row>
    <row r="18" ht="26.649999999999995" customHeight="1">
      <c r="A18" s="40"/>
      <c r="B18" s="13" t="s">
        <v>39</v>
      </c>
      <c r="C18" s="13" t="s">
        <v>40</v>
      </c>
      <c r="D18" s="16" t="s">
        <v>41</v>
      </c>
      <c r="E18" s="11"/>
    </row>
    <row r="19" ht="26.649999999999995" customHeight="1">
      <c r="A19" s="43" t="s">
        <v>42</v>
      </c>
      <c r="B19" s="7" t="s">
        <v>43</v>
      </c>
      <c r="C19" s="7" t="s">
        <v>44</v>
      </c>
      <c r="D19" s="8" t="s">
        <v>45</v>
      </c>
      <c r="E19" s="11"/>
    </row>
    <row r="20" ht="26.649999999999995" customHeight="1">
      <c r="A20" s="44"/>
      <c r="B20" s="7" t="s">
        <v>46</v>
      </c>
      <c r="C20" s="7" t="s">
        <v>14</v>
      </c>
      <c r="D20" s="8" t="s">
        <v>15</v>
      </c>
      <c r="E20" s="11"/>
    </row>
    <row r="21" ht="26.649999999999995" customHeight="1">
      <c r="A21" s="44"/>
      <c r="B21" s="7" t="s">
        <v>47</v>
      </c>
      <c r="C21" s="7" t="s">
        <v>14</v>
      </c>
      <c r="D21" s="8" t="s">
        <v>15</v>
      </c>
      <c r="E21" s="11"/>
    </row>
    <row r="22" ht="26.649999999999995" customHeight="1">
      <c r="A22" s="44"/>
      <c r="B22" s="7" t="s">
        <v>48</v>
      </c>
      <c r="C22" s="7" t="s">
        <v>14</v>
      </c>
      <c r="D22" s="8" t="s">
        <v>15</v>
      </c>
      <c r="E22" s="11"/>
    </row>
    <row r="23" ht="26.649999999999995" customHeight="1">
      <c r="A23" s="44"/>
      <c r="B23" s="7" t="s">
        <v>49</v>
      </c>
      <c r="C23" s="7" t="s">
        <v>14</v>
      </c>
      <c r="D23" s="8" t="s">
        <v>15</v>
      </c>
      <c r="E23" s="11"/>
    </row>
    <row r="24" ht="26.649999999999995" customHeight="1">
      <c r="A24" s="44"/>
      <c r="B24" s="7" t="s">
        <v>50</v>
      </c>
      <c r="C24" s="7" t="s">
        <v>14</v>
      </c>
      <c r="D24" s="8" t="s">
        <v>15</v>
      </c>
      <c r="E24" s="11"/>
    </row>
    <row r="25" ht="26.649999999999995" customHeight="1">
      <c r="A25" s="44"/>
      <c r="B25" s="7" t="s">
        <v>51</v>
      </c>
      <c r="C25" s="7" t="s">
        <v>52</v>
      </c>
      <c r="D25" s="8" t="s">
        <v>53</v>
      </c>
      <c r="E25" s="11"/>
    </row>
    <row r="26" ht="26.649999999999995" customHeight="1">
      <c r="A26" s="44"/>
      <c r="B26" s="7" t="s">
        <v>54</v>
      </c>
      <c r="C26" s="7" t="s">
        <v>14</v>
      </c>
      <c r="D26" s="8" t="s">
        <v>15</v>
      </c>
      <c r="E26" s="11"/>
    </row>
    <row r="27" ht="24.399999999999995" customHeight="1">
      <c r="A27" s="44"/>
      <c r="B27" s="7" t="s">
        <v>55</v>
      </c>
      <c r="C27" s="7" t="s">
        <v>56</v>
      </c>
      <c r="D27" s="9" t="s">
        <v>57</v>
      </c>
      <c r="E27" s="11"/>
    </row>
    <row r="28" ht="24.399999999999995" customHeight="1">
      <c r="A28" s="44"/>
      <c r="B28" s="7" t="s">
        <v>58</v>
      </c>
      <c r="C28" s="7" t="s">
        <v>59</v>
      </c>
      <c r="D28" s="7" t="s">
        <v>60</v>
      </c>
      <c r="E28" s="11"/>
    </row>
    <row r="29" ht="24.399999999999995" customHeight="1">
      <c r="A29" s="44"/>
      <c r="B29" s="7" t="s">
        <v>61</v>
      </c>
      <c r="C29" s="7" t="s">
        <v>62</v>
      </c>
      <c r="D29" s="9" t="s">
        <v>63</v>
      </c>
      <c r="E29" s="11"/>
    </row>
    <row r="30" ht="24.399999999999995" customHeight="1">
      <c r="A30" s="45"/>
      <c r="B30" s="7" t="s">
        <v>64</v>
      </c>
      <c r="C30" s="7" t="s">
        <v>65</v>
      </c>
      <c r="D30" s="9" t="s">
        <v>66</v>
      </c>
      <c r="E30" s="11"/>
    </row>
    <row r="31" ht="47.099999999999994" customHeight="1">
      <c r="A31" s="39" t="s">
        <v>67</v>
      </c>
      <c r="B31" s="7" t="s">
        <v>68</v>
      </c>
      <c r="C31" s="7" t="s">
        <v>69</v>
      </c>
      <c r="D31" s="8" t="s">
        <v>70</v>
      </c>
      <c r="E31" s="11"/>
    </row>
    <row r="32" ht="26.649999999999995" customHeight="1">
      <c r="A32" s="39"/>
      <c r="B32" s="7" t="s">
        <v>71</v>
      </c>
      <c r="C32" s="7" t="s">
        <v>72</v>
      </c>
      <c r="D32" s="8" t="s">
        <v>73</v>
      </c>
      <c r="E32" s="11"/>
    </row>
    <row r="33" ht="26.649999999999995" customHeight="1">
      <c r="A33" s="39"/>
      <c r="B33" s="7" t="s">
        <v>74</v>
      </c>
      <c r="C33" s="7" t="s">
        <v>75</v>
      </c>
      <c r="D33" s="8" t="s">
        <v>76</v>
      </c>
      <c r="E33" s="11"/>
    </row>
    <row r="34" ht="47.099999999999994" customHeight="1">
      <c r="A34" s="39"/>
      <c r="B34" s="7" t="s">
        <v>77</v>
      </c>
      <c r="C34" s="9" t="s">
        <v>78</v>
      </c>
      <c r="D34" s="15" t="s">
        <v>79</v>
      </c>
      <c r="E34" s="11"/>
    </row>
    <row r="35" ht="47.099999999999994" customHeight="1">
      <c r="A35" s="39"/>
      <c r="B35" s="7" t="s">
        <v>80</v>
      </c>
      <c r="C35" s="9" t="s">
        <v>81</v>
      </c>
      <c r="D35" s="15" t="s">
        <v>82</v>
      </c>
      <c r="E35" s="11"/>
    </row>
    <row r="36" ht="47.099999999999994" customHeight="1">
      <c r="A36" s="39"/>
      <c r="B36" s="7" t="s">
        <v>83</v>
      </c>
      <c r="C36" s="9" t="s">
        <v>84</v>
      </c>
      <c r="D36" s="15" t="s">
        <v>85</v>
      </c>
      <c r="E36" s="11"/>
    </row>
    <row r="37" ht="47.099999999999994" customHeight="1">
      <c r="A37" s="39"/>
      <c r="B37" s="7" t="s">
        <v>86</v>
      </c>
      <c r="C37" s="9" t="s">
        <v>87</v>
      </c>
      <c r="D37" s="15" t="s">
        <v>88</v>
      </c>
      <c r="E37" s="11"/>
    </row>
    <row r="38" ht="26.649999999999995" customHeight="1">
      <c r="A38" s="39"/>
      <c r="B38" s="7" t="s">
        <v>89</v>
      </c>
      <c r="C38" s="9" t="s">
        <v>90</v>
      </c>
      <c r="D38" s="15" t="s">
        <v>91</v>
      </c>
      <c r="E38" s="11"/>
    </row>
    <row r="39" ht="26.649999999999995" customHeight="1">
      <c r="A39" s="39"/>
      <c r="B39" s="7" t="s">
        <v>92</v>
      </c>
      <c r="C39" s="9" t="s">
        <v>90</v>
      </c>
      <c r="D39" s="15" t="s">
        <v>93</v>
      </c>
      <c r="E39" s="11"/>
    </row>
    <row r="40" ht="47.099999999999994" customHeight="1">
      <c r="A40" s="39" t="s">
        <v>94</v>
      </c>
      <c r="B40" s="7" t="s">
        <v>95</v>
      </c>
      <c r="C40" s="17" t="n">
        <v>1</v>
      </c>
      <c r="D40" s="15" t="s">
        <v>96</v>
      </c>
      <c r="E40" s="11"/>
    </row>
    <row r="41" ht="47.099999999999994" customHeight="1">
      <c r="A41" s="39"/>
      <c r="B41" s="7" t="s">
        <v>97</v>
      </c>
      <c r="C41" s="9" t="s">
        <v>98</v>
      </c>
      <c r="D41" s="15" t="s">
        <v>99</v>
      </c>
      <c r="E41" s="11"/>
    </row>
    <row r="42" ht="47.099999999999994" customHeight="1">
      <c r="A42" s="39"/>
      <c r="B42" s="7" t="s">
        <v>100</v>
      </c>
      <c r="C42" s="6" t="s">
        <v>101</v>
      </c>
      <c r="D42" s="15" t="s">
        <v>102</v>
      </c>
      <c r="E42" s="11"/>
    </row>
    <row r="43" ht="46.5" customHeight="1">
      <c r="A43" s="39" t="s">
        <v>103</v>
      </c>
      <c r="B43" s="7" t="s">
        <v>104</v>
      </c>
      <c r="C43" s="6" t="s">
        <v>105</v>
      </c>
      <c r="D43" s="15" t="s">
        <v>106</v>
      </c>
      <c r="E43" s="11"/>
    </row>
    <row r="44" ht="46.5" customHeight="1">
      <c r="A44" s="39"/>
      <c r="B44" s="7" t="s">
        <v>107</v>
      </c>
      <c r="C44" s="6" t="s">
        <v>101</v>
      </c>
      <c r="D44" s="15" t="s">
        <v>102</v>
      </c>
      <c r="E44" s="11"/>
    </row>
    <row r="45" ht="46.5" customHeight="1">
      <c r="A45" s="39"/>
      <c r="B45" s="7" t="s">
        <v>108</v>
      </c>
      <c r="C45" s="6" t="s">
        <v>109</v>
      </c>
      <c r="D45" s="15" t="s">
        <v>110</v>
      </c>
      <c r="E45" s="11"/>
    </row>
    <row r="46" ht="46.5" customHeight="1">
      <c r="A46" s="39"/>
      <c r="B46" s="7" t="s">
        <v>111</v>
      </c>
      <c r="C46" s="6" t="s">
        <v>112</v>
      </c>
      <c r="D46" s="15" t="s">
        <v>113</v>
      </c>
      <c r="E46" s="11"/>
    </row>
  </sheetData>
  <mergeCells count="11">
    <mergeCell ref="A4:A18"/>
    <mergeCell ref="C2:C3"/>
    <mergeCell ref="A43:A46"/>
    <mergeCell ref="A31:A39"/>
    <mergeCell ref="A40:A42"/>
    <mergeCell ref="A1:D1"/>
    <mergeCell ref="E2:E3"/>
    <mergeCell ref="D2:D3"/>
    <mergeCell ref="B2:B3"/>
    <mergeCell ref="A2:A3"/>
    <mergeCell ref="A19:A30"/>
  </mergeCells>
  <phoneticPr fontId="1" type="noConversion"/>
  <dataValidations count="1">
    <dataValidation type="list" allowBlank="1" showInputMessage="1" showErrorMessage="1" sqref="E4:E46">
      <formula1>"是,否"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3.5" customHeight="1"/>
  <cols>
    <col min="2" max="2" width="5.4990234375" customWidth="1" style="26"/>
    <col min="3" max="3" width="13.166015625" customWidth="1" style="26"/>
    <col min="4" max="4" width="19.6640625" customWidth="1" style="26"/>
    <col min="5" max="5" width="20.33203125" customWidth="1" style="26"/>
    <col min="6" max="6" width="13.166015625" customWidth="1" style="26"/>
    <col min="7" max="7" width="31.998046875" customWidth="1" style="26"/>
    <col min="8" max="8" width="21.9990234375" customWidth="1" style="26"/>
    <col min="9" max="9" width="37.125" style="26"/>
    <col min="10" max="10" width="75.796875" customWidth="1" style="26"/>
    <col min="11" max="11" width="12.9990234375" customWidth="1" style="26"/>
    <col min="12" max="12" width="12.9990234375" customWidth="1" style="26"/>
    <col min="13" max="13" width="16.875" customWidth="1" style="26"/>
    <col min="14" max="14" width="12.052734375" customWidth="1" style="26"/>
    <col min="15" max="15" width="20.5546875" customWidth="1" style="26"/>
    <col min="16" max="16" width="12.83203125" customWidth="1" style="26"/>
    <col min="17" max="17" width="20.33203125" customWidth="1" style="26"/>
    <col min="18" max="18" width="18.6650390625" customWidth="1" style="26"/>
    <col min="19" max="19" width="8.33203125" customWidth="1" style="26"/>
    <col min="20" max="20" width="11.4990234375" customWidth="1" style="26"/>
  </cols>
  <sheetData>
    <row r="1" ht="47.25" customHeight="1">
      <c r="I1" s="54" t="n">
        <v>4060</v>
      </c>
      <c r="J1" s="54" t="n">
        <v>4070</v>
      </c>
      <c r="K1" s="26" t="n">
        <v>4080</v>
      </c>
    </row>
    <row r="2" ht="20.25" customHeight="1">
      <c r="I2" s="47" t="n">
        <v>30120</v>
      </c>
      <c r="J2" s="47" t="n">
        <f>25800+5920</f>
        <v>31720</v>
      </c>
      <c r="K2" s="47" t="n">
        <f>J2+2400</f>
        <v>34120</v>
      </c>
    </row>
    <row r="3" ht="52.5" customHeight="1">
      <c r="B3" s="21" t="s">
        <v>114</v>
      </c>
      <c r="C3" s="18" t="s">
        <v>115</v>
      </c>
      <c r="D3" s="21" t="s">
        <v>116</v>
      </c>
      <c r="E3" s="21" t="s">
        <v>117</v>
      </c>
      <c r="F3" s="21" t="s">
        <v>118</v>
      </c>
      <c r="G3" s="53" t="s">
        <v>119</v>
      </c>
      <c r="H3" s="21" t="s">
        <v>120</v>
      </c>
      <c r="I3" s="21" t="s">
        <v>121</v>
      </c>
      <c r="J3" s="22" t="s">
        <v>122</v>
      </c>
      <c r="K3" s="22"/>
      <c r="L3" s="22" t="s">
        <v>123</v>
      </c>
      <c r="M3" s="80" t="s">
        <v>124</v>
      </c>
      <c r="N3" s="55" t="s">
        <v>125</v>
      </c>
      <c r="O3" s="81" t="s">
        <v>126</v>
      </c>
      <c r="P3" s="55" t="s">
        <v>125</v>
      </c>
      <c r="Q3" s="22" t="s">
        <v>127</v>
      </c>
      <c r="R3" s="22"/>
    </row>
    <row r="4" ht="41.25" customHeight="1">
      <c r="B4" s="35" t="n">
        <v>1</v>
      </c>
      <c r="C4" s="36" t="s">
        <v>128</v>
      </c>
      <c r="D4" s="19" t="s">
        <v>129</v>
      </c>
      <c r="E4" s="51" t="s">
        <v>130</v>
      </c>
      <c r="F4" s="19" t="s">
        <v>131</v>
      </c>
      <c r="G4" s="49" t="s">
        <v>132</v>
      </c>
      <c r="H4" s="29" t="s">
        <v>133</v>
      </c>
      <c r="I4" s="29" t="s">
        <v>134</v>
      </c>
      <c r="J4" s="29" t="s">
        <v>135</v>
      </c>
      <c r="K4" s="29"/>
      <c r="L4" s="56" t="n">
        <v>21</v>
      </c>
      <c r="M4" s="29" t="n">
        <v>3</v>
      </c>
      <c r="N4" s="57" t="n">
        <f>L4/M4</f>
        <v>7</v>
      </c>
      <c r="O4" s="29" t="n">
        <v>16</v>
      </c>
      <c r="P4" s="57" t="n">
        <v>2</v>
      </c>
      <c r="Q4" s="46"/>
    </row>
    <row r="5" ht="13.5" customHeight="1">
      <c r="B5" s="35"/>
      <c r="C5" s="36"/>
      <c r="D5" s="19" t="s">
        <v>136</v>
      </c>
      <c r="E5" s="52" t="s">
        <v>137</v>
      </c>
      <c r="F5" s="19" t="s">
        <v>138</v>
      </c>
      <c r="G5" s="49"/>
      <c r="H5" s="29"/>
      <c r="I5" s="29"/>
      <c r="J5" s="29"/>
      <c r="K5" s="29"/>
      <c r="L5" s="56"/>
      <c r="M5" s="29"/>
      <c r="N5" s="57"/>
      <c r="O5" s="29"/>
      <c r="P5" s="57"/>
      <c r="Q5" s="46"/>
    </row>
    <row r="6" ht="27.75" customHeight="1">
      <c r="B6" s="35"/>
      <c r="C6" s="36"/>
      <c r="D6" s="19" t="s">
        <v>139</v>
      </c>
      <c r="E6" s="52" t="s">
        <v>137</v>
      </c>
      <c r="F6" s="19" t="s">
        <v>138</v>
      </c>
      <c r="G6" s="49"/>
      <c r="H6" s="29"/>
      <c r="I6" s="29"/>
      <c r="J6" s="29"/>
      <c r="K6" s="29"/>
      <c r="L6" s="56"/>
      <c r="M6" s="29"/>
      <c r="N6" s="57"/>
      <c r="O6" s="29"/>
      <c r="P6" s="57"/>
      <c r="Q6" s="46"/>
    </row>
    <row r="7" ht="13.5" customHeight="1">
      <c r="B7" s="32" t="n">
        <v>2</v>
      </c>
      <c r="C7" s="33" t="s">
        <v>140</v>
      </c>
      <c r="D7" s="19" t="s">
        <v>141</v>
      </c>
      <c r="E7" s="52" t="s">
        <v>142</v>
      </c>
      <c r="F7" s="19" t="s">
        <v>143</v>
      </c>
      <c r="G7" s="49" t="s">
        <v>144</v>
      </c>
      <c r="H7" s="29" t="s">
        <v>145</v>
      </c>
      <c r="I7" s="29" t="s">
        <v>146</v>
      </c>
      <c r="J7" s="29" t="s">
        <v>147</v>
      </c>
      <c r="K7" s="29"/>
      <c r="L7" s="56" t="n">
        <v>17</v>
      </c>
      <c r="M7" s="29" t="s">
        <v>148</v>
      </c>
      <c r="N7" s="57" t="n">
        <v>9</v>
      </c>
      <c r="O7" s="29" t="s">
        <v>148</v>
      </c>
      <c r="P7" s="57" t="n">
        <v>9</v>
      </c>
      <c r="Q7" s="46"/>
    </row>
    <row r="8" ht="13.5" customHeight="1">
      <c r="B8" s="32"/>
      <c r="C8" s="34"/>
      <c r="D8" s="19" t="s">
        <v>149</v>
      </c>
      <c r="E8" s="52" t="s">
        <v>137</v>
      </c>
      <c r="F8" s="19" t="s">
        <v>143</v>
      </c>
      <c r="G8" s="49"/>
      <c r="H8" s="29"/>
      <c r="I8" s="29"/>
      <c r="J8" s="29"/>
      <c r="K8" s="29"/>
      <c r="L8" s="56"/>
      <c r="M8" s="29"/>
      <c r="N8" s="57"/>
      <c r="O8" s="29"/>
      <c r="P8" s="57"/>
      <c r="Q8" s="46"/>
    </row>
    <row r="9" ht="13.5" customHeight="1">
      <c r="B9" s="32"/>
      <c r="C9" s="34"/>
      <c r="D9" s="19" t="s">
        <v>150</v>
      </c>
      <c r="E9" s="52" t="s">
        <v>137</v>
      </c>
      <c r="F9" s="19" t="s">
        <v>131</v>
      </c>
      <c r="G9" s="49"/>
      <c r="H9" s="29"/>
      <c r="I9" s="29"/>
      <c r="J9" s="29"/>
      <c r="K9" s="29"/>
      <c r="L9" s="56"/>
      <c r="M9" s="29"/>
      <c r="N9" s="57"/>
      <c r="O9" s="29"/>
      <c r="P9" s="57"/>
      <c r="Q9" s="46"/>
    </row>
    <row r="10" ht="27.850000000000005" customHeight="1">
      <c r="B10" s="32" t="n">
        <v>3</v>
      </c>
      <c r="C10" s="33" t="s">
        <v>151</v>
      </c>
      <c r="D10" s="19" t="s">
        <v>152</v>
      </c>
      <c r="E10" s="52" t="s">
        <v>153</v>
      </c>
      <c r="F10" s="19" t="s">
        <v>154</v>
      </c>
      <c r="G10" s="49" t="s">
        <v>155</v>
      </c>
      <c r="H10" s="29" t="s">
        <v>145</v>
      </c>
      <c r="I10" s="82" t="s">
        <v>156</v>
      </c>
      <c r="J10" s="30" t="s">
        <v>147</v>
      </c>
      <c r="K10" s="29"/>
      <c r="L10" s="56" t="n">
        <v>21</v>
      </c>
      <c r="M10" s="29" t="n">
        <v>1</v>
      </c>
      <c r="N10" s="57" t="n">
        <v>21</v>
      </c>
      <c r="O10" s="29" t="n">
        <v>5</v>
      </c>
      <c r="P10" s="57" t="n">
        <v>4</v>
      </c>
      <c r="Q10" s="46"/>
    </row>
    <row r="11" ht="27.850000000000005" customHeight="1">
      <c r="B11" s="32"/>
      <c r="C11" s="34"/>
      <c r="D11" s="19" t="s">
        <v>157</v>
      </c>
      <c r="E11" s="52" t="s">
        <v>137</v>
      </c>
      <c r="F11" s="19" t="s">
        <v>154</v>
      </c>
      <c r="G11" s="49"/>
      <c r="H11" s="29"/>
      <c r="I11" s="29"/>
      <c r="J11" s="69"/>
      <c r="K11" s="29"/>
      <c r="L11" s="56"/>
      <c r="M11" s="29"/>
      <c r="N11" s="57"/>
      <c r="O11" s="29"/>
      <c r="P11" s="57"/>
      <c r="Q11" s="46"/>
    </row>
    <row r="12" ht="26.75" customHeight="1">
      <c r="A12" s="26" t="n">
        <v>6</v>
      </c>
      <c r="B12" s="23" t="n">
        <v>4</v>
      </c>
      <c r="C12" s="24" t="s">
        <v>158</v>
      </c>
      <c r="D12" s="19" t="s">
        <v>159</v>
      </c>
      <c r="E12" s="52" t="s">
        <v>160</v>
      </c>
      <c r="F12" s="19" t="s">
        <v>161</v>
      </c>
      <c r="G12" s="50" t="s">
        <v>155</v>
      </c>
      <c r="H12" s="19" t="s">
        <v>162</v>
      </c>
      <c r="I12" s="83" t="s">
        <v>163</v>
      </c>
      <c r="J12" s="29" t="s">
        <v>147</v>
      </c>
      <c r="K12" s="19"/>
      <c r="L12" s="58" t="n">
        <v>24</v>
      </c>
      <c r="M12" s="19" t="n">
        <v>6</v>
      </c>
      <c r="N12" s="59" t="n">
        <f>L12/M12</f>
        <v>4</v>
      </c>
      <c r="O12" s="19" t="n">
        <v>16</v>
      </c>
      <c r="P12" s="59" t="n">
        <v>2</v>
      </c>
      <c r="Q12" s="46"/>
    </row>
    <row r="13" ht="26.75" customHeight="1">
      <c r="B13" s="23" t="n">
        <v>5</v>
      </c>
      <c r="C13" s="24" t="s">
        <v>164</v>
      </c>
      <c r="D13" s="19" t="s">
        <v>165</v>
      </c>
      <c r="E13" s="52" t="s">
        <v>166</v>
      </c>
      <c r="F13" s="19" t="s">
        <v>161</v>
      </c>
      <c r="G13" s="50" t="s">
        <v>167</v>
      </c>
      <c r="H13" s="19" t="s">
        <v>162</v>
      </c>
      <c r="I13" s="20" t="s">
        <v>168</v>
      </c>
      <c r="J13" s="29" t="s">
        <v>147</v>
      </c>
      <c r="K13" s="20"/>
      <c r="L13" s="58" t="n">
        <v>20</v>
      </c>
      <c r="M13" s="20" t="n">
        <v>1</v>
      </c>
      <c r="N13" s="59" t="n">
        <v>20</v>
      </c>
      <c r="O13" s="20" t="n">
        <v>5</v>
      </c>
      <c r="P13" s="59" t="n">
        <v>4</v>
      </c>
      <c r="Q13" s="46"/>
    </row>
    <row r="14" ht="20.25" customHeight="1">
      <c r="B14" s="23" t="n">
        <v>6</v>
      </c>
      <c r="C14" s="24" t="s">
        <v>169</v>
      </c>
      <c r="D14" s="19" t="s">
        <v>170</v>
      </c>
      <c r="E14" s="52" t="s">
        <v>171</v>
      </c>
      <c r="F14" s="19" t="s">
        <v>172</v>
      </c>
      <c r="G14" s="50" t="s">
        <v>173</v>
      </c>
      <c r="H14" s="19" t="s">
        <v>174</v>
      </c>
      <c r="I14" s="19" t="s">
        <v>175</v>
      </c>
      <c r="J14" s="29" t="s">
        <v>147</v>
      </c>
      <c r="K14" s="19"/>
      <c r="L14" s="58" t="n">
        <v>7</v>
      </c>
      <c r="M14" s="19" t="n">
        <v>10</v>
      </c>
      <c r="N14" s="59" t="n">
        <v>1</v>
      </c>
      <c r="O14" s="29" t="s">
        <v>176</v>
      </c>
      <c r="P14" s="59" t="n">
        <v>1</v>
      </c>
      <c r="Q14" s="46"/>
    </row>
    <row r="15" ht="30.850000000000005" customHeight="1">
      <c r="B15" s="32" t="n">
        <v>7</v>
      </c>
      <c r="C15" s="33" t="s">
        <v>177</v>
      </c>
      <c r="D15" s="19" t="s">
        <v>178</v>
      </c>
      <c r="E15" s="52" t="s">
        <v>171</v>
      </c>
      <c r="F15" s="19" t="s">
        <v>131</v>
      </c>
      <c r="G15" s="49" t="s">
        <v>179</v>
      </c>
      <c r="H15" s="29" t="s">
        <v>145</v>
      </c>
      <c r="I15" s="84" t="s">
        <v>180</v>
      </c>
      <c r="J15" s="29" t="s">
        <v>147</v>
      </c>
      <c r="K15" s="30"/>
      <c r="L15" s="56" t="n">
        <v>23</v>
      </c>
      <c r="M15" s="29" t="n">
        <v>8</v>
      </c>
      <c r="N15" s="57" t="n">
        <v>3</v>
      </c>
      <c r="O15" s="29" t="s">
        <v>176</v>
      </c>
      <c r="P15" s="57" t="n">
        <v>3</v>
      </c>
      <c r="Q15" s="46"/>
    </row>
    <row r="16" ht="27.75" customHeight="1">
      <c r="B16" s="32"/>
      <c r="C16" s="34"/>
      <c r="D16" s="19" t="s">
        <v>181</v>
      </c>
      <c r="E16" s="52" t="s">
        <v>137</v>
      </c>
      <c r="F16" s="19" t="s">
        <v>182</v>
      </c>
      <c r="G16" s="49"/>
      <c r="H16" s="29"/>
      <c r="I16" s="29"/>
      <c r="J16" s="31"/>
      <c r="K16" s="31"/>
      <c r="L16" s="56"/>
      <c r="M16" s="29"/>
      <c r="N16" s="57"/>
      <c r="O16" s="29"/>
      <c r="P16" s="57"/>
      <c r="Q16" s="46"/>
    </row>
    <row r="17" ht="27.75" customHeight="1">
      <c r="B17" s="23" t="n">
        <v>8</v>
      </c>
      <c r="C17" s="48" t="s">
        <v>183</v>
      </c>
      <c r="D17" s="19" t="s">
        <v>184</v>
      </c>
      <c r="E17" s="52" t="s">
        <v>185</v>
      </c>
      <c r="F17" s="19" t="s">
        <v>186</v>
      </c>
      <c r="G17" s="50" t="s">
        <v>187</v>
      </c>
      <c r="H17" s="19" t="s">
        <v>145</v>
      </c>
      <c r="I17" s="19" t="s">
        <v>188</v>
      </c>
      <c r="J17" s="29" t="s">
        <v>147</v>
      </c>
      <c r="K17" s="19"/>
      <c r="L17" s="58" t="n">
        <v>20</v>
      </c>
      <c r="M17" s="19" t="n">
        <v>1</v>
      </c>
      <c r="N17" s="59" t="n">
        <v>20</v>
      </c>
      <c r="O17" s="19" t="n">
        <v>2</v>
      </c>
      <c r="P17" s="59" t="n">
        <v>10</v>
      </c>
      <c r="Q17" s="46"/>
    </row>
    <row r="18" ht="20.25" customHeight="1">
      <c r="B18" s="23" t="n">
        <v>9</v>
      </c>
      <c r="C18" s="48" t="s">
        <v>189</v>
      </c>
      <c r="D18" s="19" t="s">
        <v>190</v>
      </c>
      <c r="E18" s="52" t="s">
        <v>142</v>
      </c>
      <c r="F18" s="19" t="s">
        <v>131</v>
      </c>
      <c r="G18" s="50" t="s">
        <v>191</v>
      </c>
      <c r="H18" s="19" t="s">
        <v>145</v>
      </c>
      <c r="I18" s="19" t="s">
        <v>192</v>
      </c>
      <c r="J18" s="29" t="s">
        <v>147</v>
      </c>
      <c r="K18" s="20"/>
      <c r="L18" s="58" t="n">
        <v>19</v>
      </c>
      <c r="M18" s="20" t="n">
        <v>2</v>
      </c>
      <c r="N18" s="59" t="n">
        <f>L18/M18</f>
        <v>9.5</v>
      </c>
      <c r="O18" s="20" t="n">
        <v>20</v>
      </c>
      <c r="P18" s="59" t="n">
        <v>1</v>
      </c>
      <c r="Q18" s="46"/>
    </row>
    <row r="19" ht="20.25" customHeight="1">
      <c r="B19" s="23" t="n">
        <v>10</v>
      </c>
      <c r="C19" s="24" t="s">
        <v>193</v>
      </c>
      <c r="D19" s="19" t="s">
        <v>194</v>
      </c>
      <c r="E19" s="52" t="s">
        <v>195</v>
      </c>
      <c r="F19" s="19" t="s">
        <v>196</v>
      </c>
      <c r="G19" s="50" t="s">
        <v>197</v>
      </c>
      <c r="H19" s="19" t="s">
        <v>198</v>
      </c>
      <c r="I19" s="19"/>
      <c r="J19" s="29" t="s">
        <v>147</v>
      </c>
      <c r="K19" s="19"/>
      <c r="L19" s="58" t="n">
        <v>30</v>
      </c>
      <c r="M19" s="19" t="n">
        <v>8</v>
      </c>
      <c r="N19" s="59" t="n">
        <f>L19/M19</f>
        <v>3.75</v>
      </c>
      <c r="O19" s="19" t="s">
        <v>176</v>
      </c>
      <c r="P19" s="59" t="n">
        <v>4</v>
      </c>
      <c r="Q19" s="46"/>
    </row>
    <row r="20" ht="20.25" customHeight="1">
      <c r="B20" s="23" t="n">
        <v>11</v>
      </c>
      <c r="C20" s="24" t="s">
        <v>199</v>
      </c>
      <c r="D20" s="19" t="s">
        <v>200</v>
      </c>
      <c r="E20" s="52" t="s">
        <v>201</v>
      </c>
      <c r="F20" s="19" t="s">
        <v>196</v>
      </c>
      <c r="G20" s="50" t="s">
        <v>202</v>
      </c>
      <c r="H20" s="19" t="s">
        <v>198</v>
      </c>
      <c r="I20" s="19"/>
      <c r="J20" s="29" t="s">
        <v>147</v>
      </c>
      <c r="K20" s="19"/>
      <c r="L20" s="58" t="n">
        <v>29</v>
      </c>
      <c r="M20" s="19" t="n">
        <v>5</v>
      </c>
      <c r="N20" s="59" t="n">
        <f>L20/M20</f>
        <v>5.8</v>
      </c>
      <c r="O20" s="29" t="s">
        <v>176</v>
      </c>
      <c r="P20" s="59" t="n">
        <v>6</v>
      </c>
      <c r="Q20" s="46"/>
    </row>
    <row r="21" ht="42.4" customHeight="1">
      <c r="I21" s="21" t="s">
        <v>203</v>
      </c>
      <c r="J21" s="22" t="s">
        <v>204</v>
      </c>
      <c r="K21" s="60"/>
      <c r="L21" s="22" t="s">
        <v>205</v>
      </c>
      <c r="M21" s="22" t="s">
        <v>206</v>
      </c>
      <c r="N21" s="22" t="s">
        <v>207</v>
      </c>
      <c r="O21" s="60"/>
      <c r="P21" s="61"/>
    </row>
    <row r="22" ht="42.4" customHeight="1">
      <c r="I22" s="64" t="s">
        <v>208</v>
      </c>
      <c r="J22" s="64" t="s">
        <v>209</v>
      </c>
      <c r="K22" s="68"/>
      <c r="L22" s="66" t="n">
        <v>20</v>
      </c>
      <c r="M22" s="66" t="n">
        <v>55000</v>
      </c>
      <c r="N22" s="68" t="n">
        <f>L22*M22</f>
        <v>1200000</v>
      </c>
      <c r="O22" s="68"/>
      <c r="P22" s="70"/>
    </row>
    <row r="23" ht="42.4" customHeight="1">
      <c r="I23" s="64" t="s">
        <v>210</v>
      </c>
      <c r="J23" s="64" t="s">
        <v>211</v>
      </c>
      <c r="K23" s="68"/>
      <c r="L23" s="66" t="n">
        <v>84</v>
      </c>
      <c r="M23" s="66" t="n">
        <v>40000</v>
      </c>
      <c r="N23" s="68" t="n">
        <f>L23*M23</f>
        <v>3360000</v>
      </c>
      <c r="O23" s="68"/>
      <c r="P23" s="70"/>
    </row>
    <row r="24" ht="42.4" customHeight="1">
      <c r="I24" s="68" t="s">
        <v>212</v>
      </c>
      <c r="J24" s="64" t="s">
        <v>213</v>
      </c>
      <c r="K24" s="68"/>
      <c r="L24" s="66"/>
      <c r="M24" s="66" t="n">
        <v>34000</v>
      </c>
      <c r="N24" s="68"/>
      <c r="O24" s="68"/>
      <c r="P24" s="70"/>
    </row>
    <row r="25" ht="42.4" customHeight="1">
      <c r="I25" s="68" t="s">
        <v>214</v>
      </c>
      <c r="J25" s="64" t="s">
        <v>215</v>
      </c>
      <c r="K25" s="68"/>
      <c r="L25" s="66"/>
      <c r="M25" s="66" t="n">
        <v>7000</v>
      </c>
      <c r="N25" s="68"/>
      <c r="O25" s="68"/>
      <c r="P25" s="70"/>
    </row>
    <row r="26" ht="42.4" customHeight="1">
      <c r="I26" s="68" t="s">
        <v>216</v>
      </c>
      <c r="J26" s="68" t="s">
        <v>217</v>
      </c>
      <c r="K26" s="68"/>
      <c r="L26" s="66" t="n">
        <v>104</v>
      </c>
      <c r="M26" s="66" t="n">
        <v>799</v>
      </c>
      <c r="N26" s="68" t="n">
        <f>L26*M26</f>
        <v>83096</v>
      </c>
      <c r="O26" s="68"/>
      <c r="P26" s="70"/>
    </row>
    <row r="27" ht="42.4" customHeight="1">
      <c r="I27" s="68" t="s">
        <v>218</v>
      </c>
      <c r="J27" s="68" t="s">
        <v>219</v>
      </c>
      <c r="K27" s="67"/>
      <c r="L27" s="66" t="n">
        <v>104</v>
      </c>
      <c r="M27" s="66" t="n">
        <v>1360</v>
      </c>
      <c r="N27" s="68" t="n">
        <f>L27*M27</f>
        <v>141440</v>
      </c>
      <c r="O27" s="67"/>
      <c r="P27" s="61"/>
    </row>
    <row r="28" ht="42.4" customHeight="1">
      <c r="I28" s="68" t="s">
        <v>220</v>
      </c>
      <c r="J28" s="68" t="s">
        <v>221</v>
      </c>
      <c r="K28" s="67"/>
      <c r="L28" s="66" t="n">
        <v>231</v>
      </c>
      <c r="M28" s="66" t="n">
        <v>900</v>
      </c>
      <c r="N28" s="68" t="n">
        <f>L28*M28</f>
        <v>207900</v>
      </c>
      <c r="O28" s="67"/>
      <c r="P28" s="61"/>
    </row>
    <row r="29" ht="42.4" customHeight="1">
      <c r="I29" s="67" t="s">
        <v>222</v>
      </c>
      <c r="J29" s="67" t="s">
        <v>223</v>
      </c>
      <c r="K29" s="67"/>
      <c r="L29" s="66" t="n">
        <v>38</v>
      </c>
      <c r="M29" s="66" t="n">
        <v>1300</v>
      </c>
      <c r="N29" s="68" t="n">
        <f>L29*M29</f>
        <v>49400</v>
      </c>
      <c r="O29" s="67"/>
      <c r="P29" s="61"/>
    </row>
    <row r="30" ht="42.4" customHeight="1">
      <c r="I30" s="67" t="s">
        <v>224</v>
      </c>
      <c r="J30" s="67" t="s">
        <v>225</v>
      </c>
      <c r="K30" s="67"/>
      <c r="L30" s="66" t="n">
        <v>20</v>
      </c>
      <c r="M30" s="66" t="n">
        <v>2000</v>
      </c>
      <c r="N30" s="68" t="n">
        <f>L30*M30</f>
        <v>40000</v>
      </c>
      <c r="O30" s="67"/>
      <c r="P30" s="61"/>
    </row>
    <row r="31" ht="42.4" customHeight="1">
      <c r="I31" s="67" t="s">
        <v>226</v>
      </c>
      <c r="J31" s="71" t="s">
        <v>227</v>
      </c>
      <c r="K31" s="67"/>
      <c r="L31" s="66" t="n">
        <v>104</v>
      </c>
      <c r="M31" s="66" t="n">
        <v>75</v>
      </c>
      <c r="N31" s="68" t="n">
        <f>L31*M31</f>
        <v>7800</v>
      </c>
      <c r="O31" s="67"/>
      <c r="P31" s="61"/>
    </row>
    <row r="32" ht="42.4" customHeight="1">
      <c r="I32" s="67" t="s">
        <v>228</v>
      </c>
      <c r="J32" s="67" t="s">
        <v>229</v>
      </c>
      <c r="K32" s="67"/>
      <c r="L32" s="66" t="n">
        <v>104</v>
      </c>
      <c r="M32" s="66" t="n">
        <v>200</v>
      </c>
      <c r="N32" s="68" t="n">
        <f>L32*M32</f>
        <v>20800</v>
      </c>
      <c r="O32" s="67"/>
      <c r="P32" s="61"/>
    </row>
    <row r="33" ht="42.4" customHeight="1">
      <c r="I33" s="67" t="s">
        <v>230</v>
      </c>
      <c r="J33" s="67" t="s">
        <v>231</v>
      </c>
      <c r="K33" s="67"/>
      <c r="L33" s="66" t="n">
        <v>104</v>
      </c>
      <c r="M33" s="66" t="n">
        <v>2860</v>
      </c>
      <c r="N33" s="68" t="n">
        <f>L33*M33</f>
        <v>297440</v>
      </c>
      <c r="O33" s="67"/>
      <c r="P33" s="61"/>
    </row>
    <row r="34" ht="42.4" customHeight="1">
      <c r="I34" s="18" t="s">
        <v>232</v>
      </c>
      <c r="J34" s="22" t="s">
        <v>233</v>
      </c>
      <c r="K34" s="60"/>
      <c r="L34" s="60"/>
      <c r="M34" s="60"/>
      <c r="N34" s="60"/>
      <c r="O34" s="60"/>
      <c r="P34" s="61"/>
    </row>
    <row r="35" ht="42.4" customHeight="1">
      <c r="I35" s="67" t="s">
        <v>234</v>
      </c>
      <c r="J35" s="66" t="n">
        <v>20</v>
      </c>
      <c r="K35" s="60"/>
      <c r="L35" s="60"/>
      <c r="M35" s="60"/>
      <c r="N35" s="60"/>
      <c r="O35" s="60"/>
      <c r="P35" s="61"/>
    </row>
    <row r="36" ht="42.4" customHeight="1">
      <c r="I36" s="67" t="s">
        <v>235</v>
      </c>
      <c r="J36" s="66" t="n">
        <v>60</v>
      </c>
      <c r="K36" s="60"/>
      <c r="L36" s="60"/>
      <c r="M36" s="60"/>
      <c r="N36" s="60"/>
      <c r="O36" s="60"/>
      <c r="P36" s="61"/>
    </row>
    <row r="37" ht="42.4" customHeight="1">
      <c r="I37" s="67" t="s">
        <v>236</v>
      </c>
      <c r="J37" s="66" t="n">
        <v>40</v>
      </c>
      <c r="K37" s="60"/>
      <c r="L37" s="60"/>
      <c r="M37" s="60"/>
      <c r="N37" s="60"/>
      <c r="O37" s="60"/>
      <c r="P37" s="61"/>
    </row>
    <row r="38" ht="42.4" customHeight="1">
      <c r="I38" s="18" t="s">
        <v>237</v>
      </c>
      <c r="J38" s="22" t="s">
        <v>238</v>
      </c>
      <c r="K38" s="60"/>
      <c r="L38" s="60"/>
      <c r="M38" s="60"/>
      <c r="N38" s="60"/>
      <c r="O38" s="60"/>
      <c r="P38" s="61"/>
    </row>
    <row r="39" ht="42.4" customHeight="1">
      <c r="I39" s="68" t="s">
        <v>239</v>
      </c>
      <c r="J39" s="66" t="n">
        <v>20</v>
      </c>
      <c r="K39" s="60"/>
      <c r="L39" s="60"/>
      <c r="M39" s="60"/>
      <c r="N39" s="60"/>
      <c r="O39" s="60"/>
      <c r="P39" s="61"/>
    </row>
    <row r="40" ht="42.4" customHeight="1">
      <c r="I40" s="72" t="s">
        <v>240</v>
      </c>
      <c r="J40" s="75" t="n">
        <v>30</v>
      </c>
      <c r="K40" s="73"/>
      <c r="L40" s="73"/>
      <c r="M40" s="73"/>
      <c r="N40" s="73"/>
      <c r="O40" s="73"/>
      <c r="P40" s="74"/>
    </row>
    <row r="41" ht="162.75" customHeight="1">
      <c r="I41" s="76" t="s">
        <v>241</v>
      </c>
      <c r="J41" s="85" t="s">
        <v>242</v>
      </c>
      <c r="K41" s="77"/>
      <c r="L41" s="62"/>
      <c r="M41" s="62"/>
      <c r="N41" s="62"/>
      <c r="O41" s="62"/>
      <c r="P41" s="61"/>
    </row>
    <row r="42" ht="54.75" customHeight="1">
      <c r="I42" s="67" t="s">
        <v>243</v>
      </c>
      <c r="J42" s="86" t="s">
        <v>244</v>
      </c>
      <c r="K42" s="62"/>
      <c r="L42" s="62"/>
      <c r="M42" s="62"/>
      <c r="N42" s="62"/>
      <c r="O42" s="62"/>
      <c r="P42" s="61"/>
    </row>
    <row r="43" ht="42.4" customHeight="1">
      <c r="P43" s="28"/>
    </row>
    <row r="44" ht="42.4" customHeight="1">
      <c r="J44" s="26"/>
      <c r="P44" s="28"/>
    </row>
    <row r="45" ht="42.4" customHeight="1">
      <c r="J45" s="26"/>
      <c r="P45" s="28"/>
    </row>
    <row r="46" ht="42.4" customHeight="1"/>
    <row r="47" ht="42.4" customHeight="1"/>
    <row r="48" ht="14.25" customHeight="1">
      <c r="I48" s="26" t="s">
        <v>123</v>
      </c>
      <c r="J48" s="26" t="s">
        <v>245</v>
      </c>
      <c r="K48" s="26" t="s">
        <v>246</v>
      </c>
      <c r="L48" s="26" t="s">
        <v>127</v>
      </c>
      <c r="M48" s="26"/>
      <c r="N48" s="26"/>
      <c r="O48" s="26"/>
    </row>
    <row r="49" ht="14.25" customHeight="1">
      <c r="H49" s="26" t="s">
        <v>128</v>
      </c>
      <c r="I49" s="26" t="n">
        <v>21</v>
      </c>
      <c r="J49" s="27" t="n">
        <v>2</v>
      </c>
      <c r="K49" s="28" t="n">
        <f>I49/J49</f>
        <v>10.5</v>
      </c>
    </row>
    <row r="50" ht="14.25" customHeight="1">
      <c r="H50" s="26" t="s">
        <v>247</v>
      </c>
      <c r="I50" s="26" t="n">
        <v>17</v>
      </c>
      <c r="J50" s="27" t="n">
        <v>2</v>
      </c>
      <c r="K50" s="28" t="n">
        <f>I50/J50</f>
        <v>8.5</v>
      </c>
    </row>
    <row r="51" ht="14.25" customHeight="1">
      <c r="H51" s="26" t="s">
        <v>151</v>
      </c>
      <c r="I51" s="26" t="n">
        <v>21</v>
      </c>
      <c r="J51" s="27" t="n">
        <v>2</v>
      </c>
      <c r="K51" s="28" t="n">
        <f>I51/J51</f>
        <v>10.5</v>
      </c>
    </row>
    <row r="52" ht="14.25" customHeight="1">
      <c r="H52" s="26" t="s">
        <v>248</v>
      </c>
      <c r="I52" s="26" t="n">
        <v>24</v>
      </c>
      <c r="J52" s="27" t="n">
        <v>5</v>
      </c>
      <c r="K52" s="28" t="n">
        <f>I52/J52</f>
        <v>4.8</v>
      </c>
    </row>
    <row r="53" ht="14.25" customHeight="1">
      <c r="H53" s="26" t="s">
        <v>164</v>
      </c>
      <c r="I53" s="26" t="n">
        <v>20</v>
      </c>
      <c r="J53" s="27" t="n">
        <v>2</v>
      </c>
      <c r="K53" s="28" t="n">
        <f>I53/J53</f>
        <v>10</v>
      </c>
    </row>
    <row r="54" ht="14.25" customHeight="1">
      <c r="H54" s="26" t="s">
        <v>169</v>
      </c>
      <c r="I54" s="26" t="n">
        <v>7</v>
      </c>
      <c r="J54" s="27" t="n">
        <v>2</v>
      </c>
      <c r="K54" s="28" t="n">
        <f>I54/J54</f>
        <v>3.5</v>
      </c>
    </row>
    <row r="55" ht="14.25" customHeight="1">
      <c r="H55" s="26" t="s">
        <v>249</v>
      </c>
      <c r="I55" s="26" t="n">
        <v>23</v>
      </c>
      <c r="J55" s="27" t="n">
        <v>2</v>
      </c>
      <c r="K55" s="28" t="n">
        <f>I55/J55</f>
        <v>11.5</v>
      </c>
    </row>
    <row r="56" ht="14.25" customHeight="1">
      <c r="H56" s="26" t="s">
        <v>250</v>
      </c>
      <c r="I56" s="26" t="n">
        <v>20</v>
      </c>
      <c r="J56" s="27" t="n">
        <v>1</v>
      </c>
      <c r="K56" s="28" t="n">
        <f>I56/J56</f>
        <v>20</v>
      </c>
    </row>
    <row r="57" ht="14.25" customHeight="1">
      <c r="H57" s="26" t="s">
        <v>251</v>
      </c>
      <c r="I57" s="26" t="n">
        <v>19</v>
      </c>
      <c r="J57" s="27" t="n">
        <v>2</v>
      </c>
      <c r="K57" s="28" t="n">
        <f>I57/J57</f>
        <v>9.5</v>
      </c>
    </row>
    <row r="58" ht="14.25" customHeight="1">
      <c r="H58" s="26" t="s">
        <v>194</v>
      </c>
      <c r="I58" s="26" t="n">
        <v>30</v>
      </c>
      <c r="J58" s="26" t="n">
        <v>5</v>
      </c>
      <c r="K58" s="28" t="n">
        <f>I58/J58</f>
        <v>6</v>
      </c>
    </row>
    <row r="59" ht="14.25" customHeight="1">
      <c r="H59" s="26" t="s">
        <v>252</v>
      </c>
      <c r="I59" s="26" t="n">
        <v>29</v>
      </c>
      <c r="J59" s="26" t="n">
        <v>5</v>
      </c>
      <c r="K59" s="28" t="n">
        <f>I59/J59</f>
        <v>5.8</v>
      </c>
    </row>
    <row r="60" ht="14.25" customHeight="1">
      <c r="H60" s="26" t="s">
        <v>253</v>
      </c>
      <c r="K60" s="28" t="n">
        <f>SUM(K49:K59)</f>
        <v>100.6</v>
      </c>
      <c r="L60" s="25" t="n">
        <v>40000</v>
      </c>
      <c r="M60" s="25"/>
      <c r="N60" s="25"/>
      <c r="O60" s="25"/>
      <c r="P60" s="26" t="n">
        <f>L60*K60</f>
        <v>4024000</v>
      </c>
    </row>
  </sheetData>
  <mergeCells count="48">
    <mergeCell ref="B7:B9"/>
    <mergeCell ref="M4:M6"/>
    <mergeCell ref="I15:I16"/>
    <mergeCell ref="C4:C6"/>
    <mergeCell ref="H4:H6"/>
    <mergeCell ref="B4:B6"/>
    <mergeCell ref="C10:C11"/>
    <mergeCell ref="P15:P16"/>
    <mergeCell ref="B10:B11"/>
    <mergeCell ref="C15:C16"/>
    <mergeCell ref="K10:K11"/>
    <mergeCell ref="O4:O6"/>
    <mergeCell ref="H10:H11"/>
    <mergeCell ref="J7:J9"/>
    <mergeCell ref="B15:B16"/>
    <mergeCell ref="N4:N6"/>
    <mergeCell ref="G15:G16"/>
    <mergeCell ref="M7:M9"/>
    <mergeCell ref="G7:G9"/>
    <mergeCell ref="C7:C9"/>
    <mergeCell ref="L10:L11"/>
    <mergeCell ref="N7:N9"/>
    <mergeCell ref="N15:N16"/>
    <mergeCell ref="G4:G6"/>
    <mergeCell ref="P4:P6"/>
    <mergeCell ref="J15:J16"/>
    <mergeCell ref="H7:H9"/>
    <mergeCell ref="L15:L16"/>
    <mergeCell ref="N10:N11"/>
    <mergeCell ref="I7:I9"/>
    <mergeCell ref="P7:P9"/>
    <mergeCell ref="M15:M16"/>
    <mergeCell ref="O10:O11"/>
    <mergeCell ref="G10:G11"/>
    <mergeCell ref="I10:I11"/>
    <mergeCell ref="M10:M11"/>
    <mergeCell ref="H15:H16"/>
    <mergeCell ref="P10:P11"/>
    <mergeCell ref="L7:L9"/>
    <mergeCell ref="K4:K6"/>
    <mergeCell ref="K7:K9"/>
    <mergeCell ref="I4:I6"/>
    <mergeCell ref="L4:L6"/>
    <mergeCell ref="K15:K16"/>
    <mergeCell ref="O15:O16"/>
    <mergeCell ref="J4:J6"/>
    <mergeCell ref="O7:O9"/>
    <mergeCell ref="J10:J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3.5" customHeight="1"/>
  <cols>
    <col min="2" max="2" width="5.4990234375" customWidth="1" style="26"/>
    <col min="3" max="3" width="13.166015625" customWidth="1" style="26"/>
    <col min="4" max="4" width="19.6640625" customWidth="1" style="26"/>
    <col min="5" max="5" width="20.33203125" customWidth="1" style="26"/>
    <col min="6" max="6" width="13.166015625" customWidth="1" style="26"/>
    <col min="7" max="7" width="31.998046875" customWidth="1" style="26"/>
    <col min="8" max="8" width="21.9990234375" customWidth="1" style="26"/>
    <col min="9" max="9" width="28.0400390625" customWidth="1" style="26"/>
    <col min="10" max="10" width="38.8330078125" customWidth="1" style="26"/>
    <col min="11" max="11" width="12.9990234375" hidden="1" customWidth="1" style="26"/>
    <col min="12" max="12" width="12.9990234375" customWidth="1" style="26"/>
    <col min="13" max="13" width="16.875" customWidth="1" style="26"/>
    <col min="14" max="14" width="12.052734375" customWidth="1" style="26"/>
    <col min="15" max="15" width="34.3037109375" customWidth="1" style="26"/>
    <col min="16" max="16" width="12.83203125" customWidth="1" style="26"/>
    <col min="17" max="17" width="20.33203125" customWidth="1" style="26"/>
    <col min="18" max="18" width="32.138671875" customWidth="1" style="26"/>
    <col min="19" max="19" width="27.9140625" customWidth="1" style="26"/>
    <col min="20" max="20" width="11.4990234375" customWidth="1" style="26"/>
  </cols>
  <sheetData>
    <row r="1" ht="47.25" customHeight="1">
      <c r="I1" s="54" t="n">
        <v>4060</v>
      </c>
      <c r="J1" s="54" t="n">
        <v>4070</v>
      </c>
      <c r="K1" s="26" t="n">
        <v>4080</v>
      </c>
    </row>
    <row r="2" ht="20.25" customHeight="1">
      <c r="I2" s="47" t="n">
        <v>30120</v>
      </c>
      <c r="J2" s="47" t="n">
        <f>25800+5920</f>
        <v>31720</v>
      </c>
      <c r="K2" s="47" t="n">
        <f>J2+2400</f>
        <v>34120</v>
      </c>
    </row>
    <row r="3" ht="52.5" customHeight="1">
      <c r="B3" s="21" t="s">
        <v>114</v>
      </c>
      <c r="C3" s="18" t="s">
        <v>115</v>
      </c>
      <c r="D3" s="21" t="s">
        <v>116</v>
      </c>
      <c r="E3" s="21" t="s">
        <v>117</v>
      </c>
      <c r="F3" s="21" t="s">
        <v>118</v>
      </c>
      <c r="G3" s="53" t="s">
        <v>119</v>
      </c>
      <c r="H3" s="21" t="s">
        <v>120</v>
      </c>
      <c r="I3" s="21" t="s">
        <v>121</v>
      </c>
      <c r="J3" s="22" t="s">
        <v>122</v>
      </c>
      <c r="K3" s="22"/>
      <c r="L3" s="22" t="s">
        <v>123</v>
      </c>
      <c r="M3" s="87" t="s">
        <v>124</v>
      </c>
      <c r="N3" s="55" t="s">
        <v>125</v>
      </c>
      <c r="O3" s="55" t="s">
        <v>254</v>
      </c>
      <c r="P3" s="55"/>
      <c r="Q3" s="22"/>
      <c r="R3" s="22"/>
    </row>
    <row r="4" ht="41.25" customHeight="1">
      <c r="B4" s="35" t="n">
        <v>1</v>
      </c>
      <c r="C4" s="36" t="s">
        <v>128</v>
      </c>
      <c r="D4" s="19" t="s">
        <v>129</v>
      </c>
      <c r="E4" s="51" t="s">
        <v>130</v>
      </c>
      <c r="F4" s="19" t="s">
        <v>131</v>
      </c>
      <c r="G4" s="49" t="s">
        <v>132</v>
      </c>
      <c r="H4" s="29" t="s">
        <v>133</v>
      </c>
      <c r="I4" s="29" t="s">
        <v>134</v>
      </c>
      <c r="J4" s="65" t="s">
        <v>255</v>
      </c>
      <c r="K4" s="29"/>
      <c r="L4" s="56" t="n">
        <v>21</v>
      </c>
      <c r="M4" s="29" t="n">
        <v>6</v>
      </c>
      <c r="N4" s="57" t="n">
        <f>L4/M4</f>
        <v>3.5</v>
      </c>
      <c r="O4" s="88" t="s">
        <v>256</v>
      </c>
      <c r="P4" s="57"/>
      <c r="Q4" s="46"/>
    </row>
    <row r="5" ht="13.5" customHeight="1">
      <c r="B5" s="35"/>
      <c r="C5" s="36"/>
      <c r="D5" s="19" t="s">
        <v>136</v>
      </c>
      <c r="E5" s="52" t="s">
        <v>137</v>
      </c>
      <c r="F5" s="19" t="s">
        <v>138</v>
      </c>
      <c r="G5" s="49"/>
      <c r="H5" s="29"/>
      <c r="I5" s="29"/>
      <c r="J5" s="65"/>
      <c r="K5" s="29"/>
      <c r="L5" s="56"/>
      <c r="M5" s="29"/>
      <c r="N5" s="57"/>
      <c r="O5" s="29"/>
      <c r="P5" s="57"/>
      <c r="Q5" s="46"/>
      <c r="R5" s="5"/>
    </row>
    <row r="6" ht="15.749999999999998" customHeight="1">
      <c r="B6" s="35"/>
      <c r="C6" s="36"/>
      <c r="D6" s="19" t="s">
        <v>139</v>
      </c>
      <c r="E6" s="52" t="s">
        <v>137</v>
      </c>
      <c r="F6" s="19" t="s">
        <v>138</v>
      </c>
      <c r="G6" s="49"/>
      <c r="H6" s="29"/>
      <c r="I6" s="29"/>
      <c r="J6" s="65"/>
      <c r="K6" s="29"/>
      <c r="L6" s="56"/>
      <c r="M6" s="29"/>
      <c r="N6" s="57"/>
      <c r="O6" s="29"/>
      <c r="P6" s="57"/>
      <c r="Q6" s="46"/>
      <c r="R6" s="5"/>
    </row>
    <row r="7" ht="13.5" customHeight="1">
      <c r="B7" s="32" t="n">
        <v>2</v>
      </c>
      <c r="C7" s="33" t="s">
        <v>140</v>
      </c>
      <c r="D7" s="19" t="s">
        <v>141</v>
      </c>
      <c r="E7" s="52" t="s">
        <v>142</v>
      </c>
      <c r="F7" s="19" t="s">
        <v>143</v>
      </c>
      <c r="G7" s="49" t="s">
        <v>144</v>
      </c>
      <c r="H7" s="29" t="s">
        <v>145</v>
      </c>
      <c r="I7" s="29" t="s">
        <v>146</v>
      </c>
      <c r="J7" s="65" t="s">
        <v>255</v>
      </c>
      <c r="K7" s="29"/>
      <c r="L7" s="56" t="n">
        <v>17</v>
      </c>
      <c r="M7" s="29" t="n">
        <v>6</v>
      </c>
      <c r="N7" s="57" t="n">
        <v>3</v>
      </c>
      <c r="O7" s="89" t="s">
        <v>257</v>
      </c>
      <c r="P7" s="57"/>
      <c r="Q7" s="46"/>
    </row>
    <row r="8" ht="13.5" customHeight="1">
      <c r="B8" s="32"/>
      <c r="C8" s="34"/>
      <c r="D8" s="19" t="s">
        <v>149</v>
      </c>
      <c r="E8" s="52" t="s">
        <v>137</v>
      </c>
      <c r="F8" s="19" t="s">
        <v>143</v>
      </c>
      <c r="G8" s="49"/>
      <c r="H8" s="29"/>
      <c r="I8" s="29"/>
      <c r="J8" s="65"/>
      <c r="K8" s="29"/>
      <c r="L8" s="56"/>
      <c r="M8" s="29"/>
      <c r="N8" s="57"/>
      <c r="O8" s="29"/>
      <c r="P8" s="57"/>
      <c r="Q8" s="46"/>
    </row>
    <row r="9" ht="37.66666666666667" customHeight="1">
      <c r="B9" s="32"/>
      <c r="C9" s="34"/>
      <c r="D9" s="19" t="s">
        <v>150</v>
      </c>
      <c r="E9" s="52" t="s">
        <v>137</v>
      </c>
      <c r="F9" s="19" t="s">
        <v>131</v>
      </c>
      <c r="G9" s="49"/>
      <c r="H9" s="29"/>
      <c r="I9" s="29"/>
      <c r="J9" s="65"/>
      <c r="K9" s="29"/>
      <c r="L9" s="56"/>
      <c r="M9" s="29"/>
      <c r="N9" s="57"/>
      <c r="O9" s="29"/>
      <c r="P9" s="57"/>
      <c r="Q9" s="46"/>
    </row>
    <row r="10" ht="27.850000000000005" customHeight="1">
      <c r="B10" s="32" t="n">
        <v>3</v>
      </c>
      <c r="C10" s="33" t="s">
        <v>151</v>
      </c>
      <c r="D10" s="19" t="s">
        <v>152</v>
      </c>
      <c r="E10" s="52" t="s">
        <v>153</v>
      </c>
      <c r="F10" s="19" t="s">
        <v>154</v>
      </c>
      <c r="G10" s="49" t="s">
        <v>155</v>
      </c>
      <c r="H10" s="29" t="s">
        <v>145</v>
      </c>
      <c r="I10" s="90" t="s">
        <v>156</v>
      </c>
      <c r="J10" s="30" t="s">
        <v>255</v>
      </c>
      <c r="K10" s="29"/>
      <c r="L10" s="56" t="n">
        <v>21</v>
      </c>
      <c r="M10" s="29" t="n">
        <v>1</v>
      </c>
      <c r="N10" s="57" t="n">
        <v>21</v>
      </c>
      <c r="O10" s="91" t="s">
        <v>258</v>
      </c>
      <c r="P10" s="57"/>
      <c r="Q10" s="46"/>
    </row>
    <row r="11" ht="27.850000000000005" customHeight="1">
      <c r="B11" s="32"/>
      <c r="C11" s="34"/>
      <c r="D11" s="19" t="s">
        <v>157</v>
      </c>
      <c r="E11" s="52" t="s">
        <v>137</v>
      </c>
      <c r="F11" s="19" t="s">
        <v>154</v>
      </c>
      <c r="G11" s="49"/>
      <c r="H11" s="29"/>
      <c r="I11" s="29"/>
      <c r="J11" s="69"/>
      <c r="K11" s="29"/>
      <c r="L11" s="56"/>
      <c r="M11" s="29"/>
      <c r="N11" s="57"/>
      <c r="O11" s="29"/>
      <c r="P11" s="57"/>
      <c r="Q11" s="46"/>
    </row>
    <row r="12" ht="54.49999999999999" customHeight="1">
      <c r="A12" s="26" t="n">
        <v>6</v>
      </c>
      <c r="B12" s="23" t="n">
        <v>4</v>
      </c>
      <c r="C12" s="24" t="s">
        <v>158</v>
      </c>
      <c r="D12" s="19" t="s">
        <v>159</v>
      </c>
      <c r="E12" s="52" t="s">
        <v>160</v>
      </c>
      <c r="F12" s="19" t="s">
        <v>161</v>
      </c>
      <c r="G12" s="50" t="s">
        <v>155</v>
      </c>
      <c r="H12" s="19" t="s">
        <v>162</v>
      </c>
      <c r="I12" s="92" t="s">
        <v>163</v>
      </c>
      <c r="J12" s="29" t="s">
        <v>259</v>
      </c>
      <c r="K12" s="19"/>
      <c r="L12" s="58" t="n">
        <v>24</v>
      </c>
      <c r="M12" s="19" t="n">
        <v>24</v>
      </c>
      <c r="N12" s="59" t="n">
        <v>1</v>
      </c>
      <c r="O12" s="93" t="s">
        <v>260</v>
      </c>
      <c r="P12" s="59"/>
      <c r="Q12" s="46"/>
    </row>
    <row r="13" ht="49.99999999999999" customHeight="1">
      <c r="B13" s="23" t="n">
        <v>5</v>
      </c>
      <c r="C13" s="24" t="s">
        <v>164</v>
      </c>
      <c r="D13" s="19" t="s">
        <v>165</v>
      </c>
      <c r="E13" s="52" t="s">
        <v>166</v>
      </c>
      <c r="F13" s="19" t="s">
        <v>161</v>
      </c>
      <c r="G13" s="50" t="s">
        <v>167</v>
      </c>
      <c r="H13" s="19" t="s">
        <v>162</v>
      </c>
      <c r="I13" s="20" t="s">
        <v>168</v>
      </c>
      <c r="J13" s="29" t="s">
        <v>255</v>
      </c>
      <c r="K13" s="20"/>
      <c r="L13" s="58" t="n">
        <v>20</v>
      </c>
      <c r="M13" s="20" t="n">
        <v>1</v>
      </c>
      <c r="N13" s="59" t="n">
        <v>20</v>
      </c>
      <c r="O13" s="94" t="s">
        <v>261</v>
      </c>
      <c r="P13" s="59"/>
      <c r="Q13" s="46"/>
    </row>
    <row r="14" ht="59.416666666666664" customHeight="1">
      <c r="B14" s="23" t="n">
        <v>6</v>
      </c>
      <c r="C14" s="24" t="s">
        <v>169</v>
      </c>
      <c r="D14" s="19" t="s">
        <v>170</v>
      </c>
      <c r="E14" s="52" t="s">
        <v>171</v>
      </c>
      <c r="F14" s="19" t="s">
        <v>172</v>
      </c>
      <c r="G14" s="50" t="s">
        <v>173</v>
      </c>
      <c r="H14" s="19" t="s">
        <v>174</v>
      </c>
      <c r="I14" s="19" t="s">
        <v>175</v>
      </c>
      <c r="J14" s="29" t="s">
        <v>259</v>
      </c>
      <c r="K14" s="19"/>
      <c r="L14" s="58" t="n">
        <v>7</v>
      </c>
      <c r="M14" s="19" t="n">
        <v>7</v>
      </c>
      <c r="N14" s="59" t="n">
        <v>1</v>
      </c>
      <c r="O14" s="95" t="s">
        <v>262</v>
      </c>
      <c r="P14" s="59"/>
      <c r="Q14" s="46"/>
    </row>
    <row r="15" ht="30.850000000000005" customHeight="1">
      <c r="B15" s="32" t="n">
        <v>7</v>
      </c>
      <c r="C15" s="33" t="s">
        <v>177</v>
      </c>
      <c r="D15" s="19" t="s">
        <v>178</v>
      </c>
      <c r="E15" s="52" t="s">
        <v>171</v>
      </c>
      <c r="F15" s="19" t="s">
        <v>131</v>
      </c>
      <c r="G15" s="49" t="s">
        <v>179</v>
      </c>
      <c r="H15" s="29" t="s">
        <v>145</v>
      </c>
      <c r="I15" s="96" t="s">
        <v>180</v>
      </c>
      <c r="J15" s="29" t="s">
        <v>255</v>
      </c>
      <c r="K15" s="30"/>
      <c r="L15" s="56" t="n">
        <v>23</v>
      </c>
      <c r="M15" s="29" t="n">
        <v>23</v>
      </c>
      <c r="N15" s="57" t="n">
        <v>1</v>
      </c>
      <c r="O15" s="97" t="s">
        <v>263</v>
      </c>
      <c r="P15" s="57"/>
      <c r="Q15" s="46"/>
    </row>
    <row r="16" ht="30" customHeight="1">
      <c r="B16" s="32"/>
      <c r="C16" s="34"/>
      <c r="D16" s="19" t="s">
        <v>181</v>
      </c>
      <c r="E16" s="52" t="s">
        <v>137</v>
      </c>
      <c r="F16" s="19" t="s">
        <v>182</v>
      </c>
      <c r="G16" s="49"/>
      <c r="H16" s="29"/>
      <c r="I16" s="29"/>
      <c r="J16" s="31"/>
      <c r="K16" s="31"/>
      <c r="L16" s="56"/>
      <c r="M16" s="29"/>
      <c r="N16" s="57"/>
      <c r="O16" s="29"/>
      <c r="P16" s="57"/>
      <c r="Q16" s="46"/>
    </row>
    <row r="17" ht="59.666666666666664" customHeight="1">
      <c r="B17" s="23" t="n">
        <v>8</v>
      </c>
      <c r="C17" s="48" t="s">
        <v>183</v>
      </c>
      <c r="D17" s="19" t="s">
        <v>184</v>
      </c>
      <c r="E17" s="52" t="s">
        <v>185</v>
      </c>
      <c r="F17" s="19" t="s">
        <v>186</v>
      </c>
      <c r="G17" s="50" t="s">
        <v>187</v>
      </c>
      <c r="H17" s="19" t="s">
        <v>145</v>
      </c>
      <c r="I17" s="19" t="s">
        <v>188</v>
      </c>
      <c r="J17" s="29" t="s">
        <v>264</v>
      </c>
      <c r="K17" s="19"/>
      <c r="L17" s="58" t="n">
        <v>20</v>
      </c>
      <c r="M17" s="19" t="n">
        <v>1</v>
      </c>
      <c r="N17" s="59" t="n">
        <v>20</v>
      </c>
      <c r="O17" s="98" t="s">
        <v>261</v>
      </c>
      <c r="P17" s="59"/>
      <c r="Q17" s="46"/>
    </row>
    <row r="18" ht="62.166666666666664" customHeight="1">
      <c r="B18" s="23" t="n">
        <v>9</v>
      </c>
      <c r="C18" s="48" t="s">
        <v>189</v>
      </c>
      <c r="D18" s="19" t="s">
        <v>190</v>
      </c>
      <c r="E18" s="52" t="s">
        <v>142</v>
      </c>
      <c r="F18" s="19" t="s">
        <v>131</v>
      </c>
      <c r="G18" s="50" t="s">
        <v>191</v>
      </c>
      <c r="H18" s="19" t="s">
        <v>145</v>
      </c>
      <c r="I18" s="19" t="s">
        <v>192</v>
      </c>
      <c r="J18" s="29" t="s">
        <v>255</v>
      </c>
      <c r="K18" s="20"/>
      <c r="L18" s="58" t="n">
        <v>19</v>
      </c>
      <c r="M18" s="20" t="n">
        <v>2</v>
      </c>
      <c r="N18" s="59" t="n">
        <f>L18/M18</f>
        <v>9.5</v>
      </c>
      <c r="O18" s="99" t="s">
        <v>265</v>
      </c>
      <c r="P18" s="59"/>
      <c r="Q18" s="46"/>
    </row>
    <row r="19" ht="54.833333333333336" customHeight="1">
      <c r="B19" s="23" t="n">
        <v>10</v>
      </c>
      <c r="C19" s="24" t="s">
        <v>193</v>
      </c>
      <c r="D19" s="19" t="s">
        <v>194</v>
      </c>
      <c r="E19" s="52" t="s">
        <v>195</v>
      </c>
      <c r="F19" s="19" t="s">
        <v>196</v>
      </c>
      <c r="G19" s="50" t="s">
        <v>197</v>
      </c>
      <c r="H19" s="19" t="s">
        <v>198</v>
      </c>
      <c r="I19" s="19"/>
      <c r="J19" s="29" t="s">
        <v>255</v>
      </c>
      <c r="K19" s="19"/>
      <c r="L19" s="58" t="n">
        <v>30</v>
      </c>
      <c r="M19" s="19" t="n">
        <v>30</v>
      </c>
      <c r="N19" s="59" t="n">
        <f>L19/M19</f>
        <v>1</v>
      </c>
      <c r="O19" s="100" t="s">
        <v>266</v>
      </c>
      <c r="P19" s="59"/>
      <c r="Q19" s="46"/>
    </row>
    <row r="20" ht="55.25" customHeight="1">
      <c r="B20" s="23" t="n">
        <v>11</v>
      </c>
      <c r="C20" s="24" t="s">
        <v>199</v>
      </c>
      <c r="D20" s="19" t="s">
        <v>200</v>
      </c>
      <c r="E20" s="52" t="s">
        <v>201</v>
      </c>
      <c r="F20" s="19" t="s">
        <v>196</v>
      </c>
      <c r="G20" s="50" t="s">
        <v>202</v>
      </c>
      <c r="H20" s="19" t="s">
        <v>198</v>
      </c>
      <c r="I20" s="19"/>
      <c r="J20" s="29" t="s">
        <v>255</v>
      </c>
      <c r="K20" s="19"/>
      <c r="L20" s="58" t="n">
        <v>29</v>
      </c>
      <c r="M20" s="19" t="n">
        <v>6</v>
      </c>
      <c r="N20" s="59" t="n">
        <f>L20/M20</f>
        <v>4.83333333333333</v>
      </c>
      <c r="O20" s="101" t="s">
        <v>267</v>
      </c>
      <c r="P20" s="59"/>
      <c r="Q20" s="46"/>
    </row>
    <row r="21" ht="42.4" customHeight="1">
      <c r="I21" s="21" t="s">
        <v>203</v>
      </c>
      <c r="J21" s="22" t="s">
        <v>204</v>
      </c>
      <c r="K21" s="60"/>
      <c r="L21" s="22" t="s">
        <v>205</v>
      </c>
      <c r="M21" s="22" t="s">
        <v>206</v>
      </c>
      <c r="N21" s="22" t="s">
        <v>207</v>
      </c>
      <c r="O21" s="60"/>
      <c r="P21" s="61"/>
    </row>
    <row r="22" ht="42.4" customHeight="1">
      <c r="I22" s="64" t="s">
        <v>208</v>
      </c>
      <c r="J22" s="64" t="s">
        <v>209</v>
      </c>
      <c r="K22" s="68"/>
      <c r="L22" s="66" t="n">
        <v>20</v>
      </c>
      <c r="M22" s="66" t="n">
        <v>55000</v>
      </c>
      <c r="N22" s="68" t="n">
        <f>L22*M22</f>
        <v>1200000</v>
      </c>
      <c r="O22" s="68"/>
      <c r="P22" s="70"/>
    </row>
    <row r="23" ht="42.4" customHeight="1">
      <c r="I23" s="64" t="s">
        <v>210</v>
      </c>
      <c r="J23" s="64" t="s">
        <v>211</v>
      </c>
      <c r="K23" s="68"/>
      <c r="L23" s="66" t="n">
        <v>64</v>
      </c>
      <c r="M23" s="66" t="n">
        <v>40000</v>
      </c>
      <c r="N23" s="68" t="n">
        <f>L23*M23</f>
        <v>2560000</v>
      </c>
      <c r="O23" s="68"/>
      <c r="P23" s="70"/>
    </row>
    <row r="24" ht="42.4" customHeight="1">
      <c r="I24" s="68" t="s">
        <v>212</v>
      </c>
      <c r="J24" s="64" t="s">
        <v>213</v>
      </c>
      <c r="K24" s="68"/>
      <c r="L24" s="66" t="n">
        <v>2</v>
      </c>
      <c r="M24" s="66" t="n">
        <v>34000</v>
      </c>
      <c r="N24" s="68" t="n">
        <f>L24*M24</f>
        <v>68000</v>
      </c>
      <c r="O24" s="68"/>
      <c r="P24" s="70"/>
    </row>
    <row r="25" ht="42.4" customHeight="1">
      <c r="I25" s="68" t="s">
        <v>214</v>
      </c>
      <c r="J25" s="64" t="s">
        <v>215</v>
      </c>
      <c r="K25" s="68"/>
      <c r="L25" s="66" t="n">
        <v>200</v>
      </c>
      <c r="M25" s="66" t="n">
        <v>7000</v>
      </c>
      <c r="N25" s="68" t="n">
        <v>0</v>
      </c>
      <c r="O25" s="68"/>
      <c r="P25" s="70"/>
    </row>
    <row r="26" ht="42.4" customHeight="1">
      <c r="I26" s="68" t="s">
        <v>216</v>
      </c>
      <c r="J26" s="68" t="s">
        <v>217</v>
      </c>
      <c r="K26" s="68"/>
      <c r="L26" s="66" t="n">
        <v>86</v>
      </c>
      <c r="M26" s="66" t="n">
        <v>799</v>
      </c>
      <c r="N26" s="68" t="n">
        <f>L26*M26</f>
        <v>68714</v>
      </c>
      <c r="O26" s="68"/>
      <c r="P26" s="70"/>
    </row>
    <row r="27" ht="42.4" customHeight="1">
      <c r="I27" s="68" t="s">
        <v>218</v>
      </c>
      <c r="J27" s="68" t="s">
        <v>219</v>
      </c>
      <c r="K27" s="68"/>
      <c r="L27" s="66" t="n">
        <v>86</v>
      </c>
      <c r="M27" s="66" t="n">
        <v>1360</v>
      </c>
      <c r="N27" s="68" t="n">
        <f>L27*M27</f>
        <v>116960</v>
      </c>
      <c r="O27" s="68"/>
      <c r="P27" s="70"/>
    </row>
    <row r="28" ht="42.4" customHeight="1">
      <c r="I28" s="68" t="s">
        <v>220</v>
      </c>
      <c r="J28" s="68" t="s">
        <v>221</v>
      </c>
      <c r="K28" s="68"/>
      <c r="L28" s="66" t="n">
        <v>231</v>
      </c>
      <c r="M28" s="66" t="n">
        <v>900</v>
      </c>
      <c r="N28" s="68" t="n">
        <f>L28*M28</f>
        <v>207900</v>
      </c>
      <c r="O28" s="68"/>
      <c r="P28" s="70"/>
    </row>
    <row r="29" ht="42.4" customHeight="1">
      <c r="I29" s="67" t="s">
        <v>222</v>
      </c>
      <c r="J29" s="67" t="s">
        <v>223</v>
      </c>
      <c r="K29" s="67"/>
      <c r="L29" s="66" t="n">
        <v>38</v>
      </c>
      <c r="M29" s="66" t="n">
        <v>1300</v>
      </c>
      <c r="N29" s="68" t="n">
        <f>L29*M29</f>
        <v>49400</v>
      </c>
      <c r="O29" s="67"/>
      <c r="P29" s="61"/>
    </row>
    <row r="30" ht="42.4" customHeight="1">
      <c r="I30" s="67" t="s">
        <v>224</v>
      </c>
      <c r="J30" s="67" t="s">
        <v>225</v>
      </c>
      <c r="K30" s="67"/>
      <c r="L30" s="66" t="n">
        <v>20</v>
      </c>
      <c r="M30" s="66" t="n">
        <v>2000</v>
      </c>
      <c r="N30" s="68" t="n">
        <f>L30*M30</f>
        <v>40000</v>
      </c>
      <c r="O30" s="67"/>
      <c r="P30" s="61"/>
    </row>
    <row r="31" ht="42.4" customHeight="1">
      <c r="I31" s="67" t="s">
        <v>226</v>
      </c>
      <c r="J31" s="67" t="s">
        <v>227</v>
      </c>
      <c r="K31" s="67"/>
      <c r="L31" s="66" t="n">
        <v>86</v>
      </c>
      <c r="M31" s="66" t="n">
        <v>75</v>
      </c>
      <c r="N31" s="68" t="n">
        <f>L31*M31</f>
        <v>6450</v>
      </c>
      <c r="O31" s="67"/>
      <c r="P31" s="61"/>
    </row>
    <row r="32" ht="42.4" customHeight="1">
      <c r="I32" s="67" t="s">
        <v>228</v>
      </c>
      <c r="J32" s="67" t="s">
        <v>229</v>
      </c>
      <c r="K32" s="67"/>
      <c r="L32" s="66" t="n">
        <v>86</v>
      </c>
      <c r="M32" s="66" t="n">
        <v>200</v>
      </c>
      <c r="N32" s="68" t="n">
        <f>L32*M32</f>
        <v>17200</v>
      </c>
      <c r="O32" s="67"/>
      <c r="P32" s="61"/>
    </row>
    <row r="33" ht="42.4" customHeight="1">
      <c r="I33" s="67" t="s">
        <v>230</v>
      </c>
      <c r="J33" s="67" t="s">
        <v>231</v>
      </c>
      <c r="K33" s="67"/>
      <c r="L33" s="66" t="n">
        <v>86</v>
      </c>
      <c r="M33" s="66" t="n">
        <v>2860</v>
      </c>
      <c r="N33" s="68" t="n">
        <f>L33*M33</f>
        <v>245960</v>
      </c>
      <c r="O33" s="67"/>
      <c r="P33" s="61"/>
    </row>
    <row r="34" ht="42.4" customHeight="1">
      <c r="I34" s="18" t="s">
        <v>232</v>
      </c>
      <c r="J34" s="22" t="s">
        <v>233</v>
      </c>
      <c r="K34" s="60"/>
      <c r="L34" s="60"/>
      <c r="M34" s="60"/>
      <c r="N34" s="60"/>
      <c r="O34" s="60"/>
      <c r="P34" s="61"/>
    </row>
    <row r="35" ht="42.4" customHeight="1">
      <c r="I35" s="67" t="s">
        <v>234</v>
      </c>
      <c r="J35" s="66" t="n">
        <v>20</v>
      </c>
      <c r="K35" s="60"/>
      <c r="L35" s="60"/>
      <c r="M35" s="60"/>
      <c r="N35" s="60"/>
      <c r="O35" s="60"/>
      <c r="P35" s="61"/>
    </row>
    <row r="36" ht="42.4" customHeight="1">
      <c r="I36" s="67" t="s">
        <v>235</v>
      </c>
      <c r="J36" s="66" t="n">
        <v>60</v>
      </c>
      <c r="K36" s="60"/>
      <c r="L36" s="60"/>
      <c r="M36" s="60"/>
      <c r="N36" s="60"/>
      <c r="O36" s="60"/>
      <c r="P36" s="61"/>
    </row>
    <row r="37" ht="42.4" customHeight="1">
      <c r="I37" s="67" t="s">
        <v>236</v>
      </c>
      <c r="J37" s="66" t="n">
        <v>40</v>
      </c>
      <c r="K37" s="60"/>
      <c r="L37" s="60"/>
      <c r="M37" s="60"/>
      <c r="N37" s="60"/>
      <c r="O37" s="60"/>
      <c r="P37" s="61"/>
    </row>
    <row r="38" ht="42.4" customHeight="1">
      <c r="I38" s="18" t="s">
        <v>237</v>
      </c>
      <c r="J38" s="22" t="s">
        <v>238</v>
      </c>
      <c r="K38" s="60"/>
      <c r="L38" s="60"/>
      <c r="M38" s="60"/>
      <c r="N38" s="60"/>
      <c r="O38" s="60"/>
      <c r="P38" s="61"/>
    </row>
    <row r="39" ht="42.4" customHeight="1">
      <c r="I39" s="68" t="s">
        <v>239</v>
      </c>
      <c r="J39" s="66" t="n">
        <v>20</v>
      </c>
      <c r="K39" s="60"/>
      <c r="L39" s="60"/>
      <c r="M39" s="60"/>
      <c r="N39" s="60"/>
      <c r="O39" s="60"/>
      <c r="P39" s="61"/>
    </row>
    <row r="40" ht="42.4" customHeight="1">
      <c r="I40" s="72" t="s">
        <v>240</v>
      </c>
      <c r="J40" s="75" t="n">
        <v>30</v>
      </c>
      <c r="K40" s="60"/>
      <c r="L40" s="60"/>
      <c r="M40" s="60"/>
      <c r="N40" s="60"/>
      <c r="O40" s="60"/>
      <c r="P40" s="61"/>
    </row>
    <row r="41" ht="42.4" customHeight="1">
      <c r="I41" s="76" t="s">
        <v>241</v>
      </c>
      <c r="J41" s="102" t="s">
        <v>242</v>
      </c>
      <c r="K41" s="60"/>
      <c r="L41" s="73"/>
      <c r="M41" s="73"/>
      <c r="N41" s="73"/>
      <c r="O41" s="73"/>
      <c r="P41" s="74"/>
    </row>
    <row r="42" ht="42.4" customHeight="1">
      <c r="I42" s="67" t="s">
        <v>243</v>
      </c>
      <c r="J42" s="103" t="s">
        <v>244</v>
      </c>
      <c r="L42" s="62"/>
      <c r="M42" s="62"/>
      <c r="N42" s="62"/>
      <c r="O42" s="62"/>
      <c r="P42" s="61"/>
    </row>
    <row r="43" ht="42.4" customHeight="1">
      <c r="J43" s="26"/>
      <c r="P43" s="28"/>
    </row>
    <row r="44" ht="42.4" customHeight="1">
      <c r="J44" s="26"/>
      <c r="P44" s="28"/>
    </row>
    <row r="45" ht="42.4" customHeight="1">
      <c r="J45" s="26"/>
      <c r="P45" s="28"/>
    </row>
    <row r="46" ht="42.4" customHeight="1"/>
    <row r="47" ht="42.4" customHeight="1"/>
    <row r="48" ht="14.25" customHeight="1">
      <c r="I48" s="26" t="s">
        <v>123</v>
      </c>
      <c r="J48" s="26" t="s">
        <v>245</v>
      </c>
      <c r="K48" s="26" t="s">
        <v>246</v>
      </c>
      <c r="L48" s="26" t="s">
        <v>127</v>
      </c>
      <c r="M48" s="26"/>
      <c r="N48" s="26"/>
      <c r="O48" s="26"/>
    </row>
    <row r="49" ht="14.25" customHeight="1">
      <c r="H49" s="26" t="s">
        <v>128</v>
      </c>
      <c r="I49" s="26" t="n">
        <v>21</v>
      </c>
      <c r="J49" s="27" t="n">
        <v>2</v>
      </c>
      <c r="K49" s="28" t="n">
        <f>I49/J49</f>
        <v>10.5</v>
      </c>
    </row>
    <row r="50" ht="14.25" customHeight="1">
      <c r="H50" s="26" t="s">
        <v>247</v>
      </c>
      <c r="I50" s="26" t="n">
        <v>17</v>
      </c>
      <c r="J50" s="27" t="n">
        <v>2</v>
      </c>
      <c r="K50" s="28" t="n">
        <f>I50/J50</f>
        <v>8.5</v>
      </c>
    </row>
    <row r="51" ht="14.25" customHeight="1">
      <c r="H51" s="26" t="s">
        <v>151</v>
      </c>
      <c r="I51" s="26" t="n">
        <v>21</v>
      </c>
      <c r="J51" s="27" t="n">
        <v>2</v>
      </c>
      <c r="K51" s="28" t="n">
        <f>I51/J51</f>
        <v>10.5</v>
      </c>
    </row>
    <row r="52" ht="14.25" customHeight="1">
      <c r="H52" s="26" t="s">
        <v>248</v>
      </c>
      <c r="I52" s="26" t="n">
        <v>24</v>
      </c>
      <c r="J52" s="27" t="n">
        <v>5</v>
      </c>
      <c r="K52" s="28" t="n">
        <f>I52/J52</f>
        <v>4.8</v>
      </c>
    </row>
    <row r="53" ht="14.25" customHeight="1">
      <c r="H53" s="26" t="s">
        <v>164</v>
      </c>
      <c r="I53" s="26" t="n">
        <v>20</v>
      </c>
      <c r="J53" s="27" t="n">
        <v>2</v>
      </c>
      <c r="K53" s="28" t="n">
        <f>I53/J53</f>
        <v>10</v>
      </c>
    </row>
    <row r="54" ht="14.25" customHeight="1">
      <c r="H54" s="26" t="s">
        <v>169</v>
      </c>
      <c r="I54" s="26" t="n">
        <v>7</v>
      </c>
      <c r="J54" s="27" t="n">
        <v>2</v>
      </c>
      <c r="K54" s="28" t="n">
        <f>I54/J54</f>
        <v>3.5</v>
      </c>
    </row>
    <row r="55" ht="14.25" customHeight="1">
      <c r="H55" s="26" t="s">
        <v>249</v>
      </c>
      <c r="I55" s="26" t="n">
        <v>23</v>
      </c>
      <c r="J55" s="27" t="n">
        <v>2</v>
      </c>
      <c r="K55" s="28" t="n">
        <f>I55/J55</f>
        <v>11.5</v>
      </c>
    </row>
    <row r="56" ht="14.25" customHeight="1">
      <c r="H56" s="26" t="s">
        <v>250</v>
      </c>
      <c r="I56" s="26" t="n">
        <v>20</v>
      </c>
      <c r="J56" s="27" t="n">
        <v>1</v>
      </c>
      <c r="K56" s="28" t="n">
        <f>I56/J56</f>
        <v>20</v>
      </c>
    </row>
    <row r="57" ht="14.25" customHeight="1">
      <c r="H57" s="26" t="s">
        <v>251</v>
      </c>
      <c r="I57" s="26" t="n">
        <v>19</v>
      </c>
      <c r="J57" s="27" t="n">
        <v>2</v>
      </c>
      <c r="K57" s="28" t="n">
        <f>I57/J57</f>
        <v>9.5</v>
      </c>
    </row>
    <row r="58" ht="14.25" customHeight="1">
      <c r="H58" s="26" t="s">
        <v>194</v>
      </c>
      <c r="I58" s="26" t="n">
        <v>30</v>
      </c>
      <c r="J58" s="26" t="n">
        <v>5</v>
      </c>
      <c r="K58" s="28" t="n">
        <f>I58/J58</f>
        <v>6</v>
      </c>
    </row>
    <row r="59" ht="14.25" customHeight="1">
      <c r="H59" s="26" t="s">
        <v>252</v>
      </c>
      <c r="I59" s="26" t="n">
        <v>29</v>
      </c>
      <c r="J59" s="26" t="n">
        <v>5</v>
      </c>
      <c r="K59" s="28" t="n">
        <f>I59/J59</f>
        <v>5.8</v>
      </c>
    </row>
    <row r="60" ht="14.25" customHeight="1">
      <c r="H60" s="26" t="s">
        <v>253</v>
      </c>
      <c r="K60" s="28" t="n">
        <f>SUM(K49:K59)</f>
        <v>100.6</v>
      </c>
      <c r="L60" s="25" t="n">
        <v>40000</v>
      </c>
      <c r="M60" s="25"/>
      <c r="N60" s="25"/>
      <c r="O60" s="25"/>
      <c r="P60" s="26" t="n">
        <f>L60*K60</f>
        <v>4024000</v>
      </c>
    </row>
  </sheetData>
  <mergeCells count="49">
    <mergeCell ref="O7:O9"/>
    <mergeCell ref="N4:N6"/>
    <mergeCell ref="N7:N9"/>
    <mergeCell ref="N10:N11"/>
    <mergeCell ref="N15:N16"/>
    <mergeCell ref="L15:L16"/>
    <mergeCell ref="L10:L11"/>
    <mergeCell ref="L7:L9"/>
    <mergeCell ref="L4:L6"/>
    <mergeCell ref="P4:P6"/>
    <mergeCell ref="P7:P9"/>
    <mergeCell ref="P10:P11"/>
    <mergeCell ref="P15:P16"/>
    <mergeCell ref="M4:M6"/>
    <mergeCell ref="M7:M9"/>
    <mergeCell ref="M10:M11"/>
    <mergeCell ref="M15:M16"/>
    <mergeCell ref="O4:O6"/>
    <mergeCell ref="O10:O11"/>
    <mergeCell ref="O15:O16"/>
    <mergeCell ref="B4:B6"/>
    <mergeCell ref="B7:B9"/>
    <mergeCell ref="I4:I6"/>
    <mergeCell ref="H10:H11"/>
    <mergeCell ref="C10:C11"/>
    <mergeCell ref="G7:G9"/>
    <mergeCell ref="C7:C9"/>
    <mergeCell ref="C4:C6"/>
    <mergeCell ref="H4:H6"/>
    <mergeCell ref="G4:G6"/>
    <mergeCell ref="G10:G11"/>
    <mergeCell ref="H7:H9"/>
    <mergeCell ref="B10:B11"/>
    <mergeCell ref="B15:B16"/>
    <mergeCell ref="I7:I9"/>
    <mergeCell ref="I10:I11"/>
    <mergeCell ref="G15:G16"/>
    <mergeCell ref="I15:I16"/>
    <mergeCell ref="H15:H16"/>
    <mergeCell ref="C15:C16"/>
    <mergeCell ref="J4:J6"/>
    <mergeCell ref="J15:J16"/>
    <mergeCell ref="K4:K6"/>
    <mergeCell ref="K7:K9"/>
    <mergeCell ref="K10:K11"/>
    <mergeCell ref="K15:K16"/>
    <mergeCell ref="J7:J9"/>
    <mergeCell ref="J10:J11"/>
    <mergeCell ref="R4:R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2026-05-11T22:23:51Z</dcterms:modified>
</cp:coreProperties>
</file>